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739795987046c25a/Documents/IOTA/Excle/Project/"/>
    </mc:Choice>
  </mc:AlternateContent>
  <xr:revisionPtr revIDLastSave="57" documentId="13_ncr:1_{4847BDF7-B1A3-45E6-9585-B3B2D10F72C0}" xr6:coauthVersionLast="47" xr6:coauthVersionMax="47" xr10:uidLastSave="{62CFE23A-60DC-4A52-8000-AAFE29E8D8E6}"/>
  <bookViews>
    <workbookView xWindow="-108" yWindow="-108" windowWidth="23256" windowHeight="12456" firstSheet="3" activeTab="5" xr2:uid="{737754C9-3FCA-4827-97BD-FD513499A12B}"/>
  </bookViews>
  <sheets>
    <sheet name="Business Scenario" sheetId="12" state="hidden" r:id="rId1"/>
    <sheet name="Data Description" sheetId="10" state="hidden" r:id="rId2"/>
    <sheet name="Requirements" sheetId="11" state="hidden" r:id="rId3"/>
    <sheet name="Subscription Data" sheetId="9" r:id="rId4"/>
    <sheet name="Data Analysis Task" sheetId="13" r:id="rId5"/>
    <sheet name="DashBoard" sheetId="19" r:id="rId6"/>
  </sheets>
  <definedNames>
    <definedName name="_xlnm._FilterDatabase" localSheetId="3" hidden="1">'Subscription Data'!$A$1:$F$3070</definedName>
    <definedName name="Slicer_Create_Year">#N/A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9" i="13" l="1"/>
  <c r="I97" i="13"/>
  <c r="D61" i="13"/>
  <c r="H14" i="19"/>
  <c r="H11" i="19"/>
  <c r="H23" i="19"/>
  <c r="H27" i="19"/>
  <c r="G18" i="13"/>
  <c r="D60" i="13"/>
</calcChain>
</file>

<file path=xl/sharedStrings.xml><?xml version="1.0" encoding="utf-8"?>
<sst xmlns="http://schemas.openxmlformats.org/spreadsheetml/2006/main" count="9347" uniqueCount="104">
  <si>
    <t>customer_id</t>
  </si>
  <si>
    <t>created_date</t>
  </si>
  <si>
    <t>canceled_date</t>
  </si>
  <si>
    <t>subscription_cost</t>
  </si>
  <si>
    <t>subscription_interval</t>
  </si>
  <si>
    <t>was_subscription_paid</t>
  </si>
  <si>
    <t>month</t>
  </si>
  <si>
    <t>Yes</t>
  </si>
  <si>
    <t>No</t>
  </si>
  <si>
    <t>Description</t>
  </si>
  <si>
    <r>
      <rPr>
        <b/>
        <sz val="48"/>
        <color rgb="FFC00000"/>
        <rFont val="Bahnschrift Condensed"/>
        <family val="2"/>
      </rPr>
      <t>NETFLIX</t>
    </r>
    <r>
      <rPr>
        <b/>
        <sz val="36"/>
        <color rgb="FFC00000"/>
        <rFont val="Bahnschrift Condensed"/>
        <family val="2"/>
      </rPr>
      <t xml:space="preserve"> </t>
    </r>
    <r>
      <rPr>
        <sz val="36"/>
        <color theme="1"/>
        <rFont val="Bahnschrift Condensed"/>
        <family val="2"/>
      </rPr>
      <t>Subscription Analysis</t>
    </r>
  </si>
  <si>
    <t>Column</t>
  </si>
  <si>
    <t>Data type</t>
  </si>
  <si>
    <t>Flag</t>
  </si>
  <si>
    <t>Integer</t>
  </si>
  <si>
    <t>Primary key</t>
  </si>
  <si>
    <t>Unique customer identification number representing an individual customer.</t>
  </si>
  <si>
    <t>Date (DD/MM/YYYY)</t>
  </si>
  <si>
    <t>Date</t>
  </si>
  <si>
    <t>Date the customer subscription was created.</t>
  </si>
  <si>
    <t>Date the subscription was cancelled. If blank, the subscription has not been cancelled.</t>
  </si>
  <si>
    <t>Decimal (USD)</t>
  </si>
  <si>
    <t>Numeric</t>
  </si>
  <si>
    <t>Price of the subscription in USD.</t>
  </si>
  <si>
    <t>Text</t>
  </si>
  <si>
    <t>Measurement of time between billing occurrences for a recurring billing subscription (e.g., monthly, annual).</t>
  </si>
  <si>
    <t>Boolean (Yes/No)</t>
  </si>
  <si>
    <t>Boolean</t>
  </si>
  <si>
    <t>Indicates whether payment was successfully collected for the subscription.</t>
  </si>
  <si>
    <r>
      <t>Date</t>
    </r>
    <r>
      <rPr>
        <sz val="10"/>
        <color rgb="FF141413"/>
        <rFont val="Arial"/>
        <family val="2"/>
      </rPr>
      <t> </t>
    </r>
    <r>
      <rPr>
        <sz val="10"/>
        <color rgb="FF633806"/>
        <rFont val="Arial"/>
        <family val="2"/>
      </rPr>
      <t>Nullable</t>
    </r>
  </si>
  <si>
    <t>Expected Dashboard (You may create a more creative version)</t>
  </si>
  <si>
    <t>Cancellation Duration</t>
  </si>
  <si>
    <t>Created_weekdays</t>
  </si>
  <si>
    <t>Create_Year</t>
  </si>
  <si>
    <t>1. Calculate the total number of subscriptions and cancellations.</t>
  </si>
  <si>
    <t>Subscriptions</t>
  </si>
  <si>
    <t>Grand Total</t>
  </si>
  <si>
    <t>Total Number of Subscriptions</t>
  </si>
  <si>
    <t>2. Determine the percentage of paid vs. unpaid subscriptions.</t>
  </si>
  <si>
    <t>Unpaid</t>
  </si>
  <si>
    <t>Paid</t>
  </si>
  <si>
    <t>Percentage</t>
  </si>
  <si>
    <t>3. Analyze the average subscription duration before cancellation.</t>
  </si>
  <si>
    <t>Total Number of Cancellation</t>
  </si>
  <si>
    <t>Average of Cancellation Duration</t>
  </si>
  <si>
    <t>4. Identify the date with the highest number of new subscriptions.</t>
  </si>
  <si>
    <t>5. Find the proportion of subscriptions that were canceled within one day.</t>
  </si>
  <si>
    <t>Created_date</t>
  </si>
  <si>
    <t>Number of Subscription</t>
  </si>
  <si>
    <t>1. Which date had the highest number of subscriptions cancellations?</t>
  </si>
  <si>
    <t>Canceled_date</t>
  </si>
  <si>
    <t>Number of Cancellations</t>
  </si>
  <si>
    <t>2. How many subscriptions were canceled on the same day they were created?</t>
  </si>
  <si>
    <t>Cancellation_Duration</t>
  </si>
  <si>
    <t>Proportion of subscription</t>
  </si>
  <si>
    <t>3. What is the cancellation rate within the first two days of subscription?</t>
  </si>
  <si>
    <t>(Multiple Items)</t>
  </si>
  <si>
    <t xml:space="preserve">cancellation rate first two days </t>
  </si>
  <si>
    <r>
      <t xml:space="preserve">4. How many subscriptions lasted more than one month </t>
    </r>
    <r>
      <rPr>
        <sz val="11"/>
        <color rgb="FF000000"/>
        <rFont val="Calibri"/>
        <family val="2"/>
        <scheme val="minor"/>
      </rPr>
      <t>(30+ days)</t>
    </r>
    <r>
      <rPr>
        <sz val="12"/>
        <color rgb="FF000000"/>
        <rFont val="Calibri"/>
        <family val="2"/>
        <scheme val="minor"/>
      </rPr>
      <t>?</t>
    </r>
  </si>
  <si>
    <t>5. What is the most common duration (in days) before cancellation?</t>
  </si>
  <si>
    <t>Sunday</t>
  </si>
  <si>
    <t>Monday</t>
  </si>
  <si>
    <t>Tuesday</t>
  </si>
  <si>
    <t>Wednesday</t>
  </si>
  <si>
    <t>Thursday</t>
  </si>
  <si>
    <t>Friday</t>
  </si>
  <si>
    <t>Saturday</t>
  </si>
  <si>
    <t>6. How does the number of subscriptions vary by Weekday?</t>
  </si>
  <si>
    <t>7. Are there any indications that unpaid subscriptions have a higher cancellation rate?</t>
  </si>
  <si>
    <t>Subscription</t>
  </si>
  <si>
    <t>2022</t>
  </si>
  <si>
    <t>2023</t>
  </si>
  <si>
    <t>Jan</t>
  </si>
  <si>
    <t>Feb</t>
  </si>
  <si>
    <t>Mar</t>
  </si>
  <si>
    <t>Apr</t>
  </si>
  <si>
    <t>May</t>
  </si>
  <si>
    <t>Jun</t>
  </si>
  <si>
    <t>Jul</t>
  </si>
  <si>
    <t>Aug</t>
  </si>
  <si>
    <t>Sep</t>
  </si>
  <si>
    <t>Oct</t>
  </si>
  <si>
    <t>Nov</t>
  </si>
  <si>
    <t>Dec</t>
  </si>
  <si>
    <t>Total Subscriptions</t>
  </si>
  <si>
    <t>Concellation Rate</t>
  </si>
  <si>
    <t>Number of Cancelletion</t>
  </si>
  <si>
    <t>1. Create a bar chart showing the number of new subscriptions per month.</t>
  </si>
  <si>
    <t>2. Generate a pie chart displaying the percentage of paid vs. unpaid subscriptions.</t>
  </si>
  <si>
    <t>3. Plot a line graph of subscription cancellations over time.</t>
  </si>
  <si>
    <t>4. Create Combo chart (bar + line) Subscriptions by weekday — count of subscriptions (bar) and % per day (line).</t>
  </si>
  <si>
    <t>Months</t>
  </si>
  <si>
    <t>New Subscription</t>
  </si>
  <si>
    <t>Year</t>
  </si>
  <si>
    <t>WeekDays</t>
  </si>
  <si>
    <t>Number of Subscriptions</t>
  </si>
  <si>
    <t>Paid Subscription</t>
  </si>
  <si>
    <t>Unpaid Subscription</t>
  </si>
  <si>
    <t xml:space="preserve">Number of Cancellation </t>
  </si>
  <si>
    <t>Number Of Subscription</t>
  </si>
  <si>
    <t>% Subscription per Day</t>
  </si>
  <si>
    <t>Cancellation Duratioon</t>
  </si>
  <si>
    <t>Number of Cancellation</t>
  </si>
  <si>
    <t>Number of Cancellation Subscription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</si>
</sst>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36"/>
      <color theme="1"/>
      <name val="Bahnschrift Condensed"/>
      <family val="2"/>
    </font>
    <font>
      <b/>
      <sz val="48"/>
      <color rgb="FFC00000"/>
      <name val="Bahnschrift Condensed"/>
      <family val="2"/>
    </font>
    <font>
      <b/>
      <sz val="36"/>
      <color rgb="FFC00000"/>
      <name val="Bahnschrift Condensed"/>
      <family val="2"/>
    </font>
    <font>
      <sz val="10"/>
      <color theme="5" tint="-0.499984740745262"/>
      <name val="Arial Rounded MT Bold"/>
      <family val="2"/>
    </font>
    <font>
      <sz val="10"/>
      <color rgb="FF141413"/>
      <name val="Arial"/>
      <family val="2"/>
    </font>
    <font>
      <sz val="10"/>
      <color rgb="FF3C3489"/>
      <name val="Arial"/>
      <family val="2"/>
    </font>
    <font>
      <sz val="10"/>
      <color rgb="FF085041"/>
      <name val="Arial"/>
      <family val="2"/>
    </font>
    <font>
      <sz val="10"/>
      <color rgb="FF633806"/>
      <name val="Arial"/>
      <family val="2"/>
    </font>
    <font>
      <sz val="10"/>
      <color rgb="FF0C447C"/>
      <name val="Arial"/>
      <family val="2"/>
    </font>
    <font>
      <sz val="12"/>
      <color rgb="FF000000"/>
      <name val="Calibri"/>
      <family val="2"/>
      <scheme val="minor"/>
    </font>
    <font>
      <sz val="11"/>
      <color rgb="FF000000"/>
      <name val="Calibri"/>
      <family val="2"/>
      <scheme val="minor"/>
    </font>
    <font>
      <b/>
      <sz val="14"/>
      <color theme="0"/>
      <name val="Calibri"/>
      <family val="2"/>
      <scheme val="minor"/>
    </font>
    <font>
      <sz val="12"/>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EBEB"/>
        <bgColor indexed="64"/>
      </patternFill>
    </fill>
    <fill>
      <patternFill patternType="solid">
        <fgColor theme="2"/>
        <bgColor indexed="64"/>
      </patternFill>
    </fill>
    <fill>
      <patternFill patternType="solid">
        <fgColor rgb="FFFF0000"/>
        <bgColor indexed="64"/>
      </patternFill>
    </fill>
    <fill>
      <patternFill patternType="solid">
        <fgColor rgb="FF141414"/>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rgb="FFE50914"/>
      </left>
      <right style="medium">
        <color rgb="FFE50914"/>
      </right>
      <top style="medium">
        <color rgb="FFE50914"/>
      </top>
      <bottom style="medium">
        <color rgb="FFE50914"/>
      </bottom>
      <diagonal/>
    </border>
    <border>
      <left style="medium">
        <color rgb="FFE50914"/>
      </left>
      <right/>
      <top style="medium">
        <color rgb="FFE50914"/>
      </top>
      <bottom style="medium">
        <color rgb="FFE50914"/>
      </bottom>
      <diagonal/>
    </border>
    <border>
      <left/>
      <right style="thin">
        <color rgb="FFE50914"/>
      </right>
      <top/>
      <bottom/>
      <diagonal/>
    </border>
    <border>
      <left style="thin">
        <color rgb="FFE50914"/>
      </left>
      <right style="thin">
        <color rgb="FFE50914"/>
      </right>
      <top/>
      <bottom/>
      <diagonal/>
    </border>
    <border>
      <left style="thin">
        <color rgb="FFE50914"/>
      </left>
      <right style="thin">
        <color rgb="FFE50914"/>
      </right>
      <top/>
      <bottom style="thin">
        <color rgb="FFE5091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9">
    <xf numFmtId="0" fontId="0" fillId="0" borderId="0" xfId="0"/>
    <xf numFmtId="14" fontId="0" fillId="0" borderId="0" xfId="0" applyNumberFormat="1"/>
    <xf numFmtId="0" fontId="16" fillId="0" borderId="0" xfId="0" applyFont="1"/>
    <xf numFmtId="0" fontId="0" fillId="0" borderId="0" xfId="0" applyAlignment="1">
      <alignment vertical="center"/>
    </xf>
    <xf numFmtId="0" fontId="0" fillId="0" borderId="0" xfId="0" applyAlignment="1">
      <alignment horizontal="left" vertical="center" indent="5"/>
    </xf>
    <xf numFmtId="9" fontId="22" fillId="33" borderId="10" xfId="42" applyFont="1" applyFill="1" applyBorder="1" applyAlignment="1">
      <alignment horizontal="left" vertical="center"/>
    </xf>
    <xf numFmtId="9" fontId="23" fillId="0" borderId="10" xfId="42" applyFont="1" applyBorder="1" applyAlignment="1">
      <alignment vertical="top"/>
    </xf>
    <xf numFmtId="9" fontId="24" fillId="0" borderId="10" xfId="42" applyFont="1" applyBorder="1" applyAlignment="1">
      <alignment vertical="top"/>
    </xf>
    <xf numFmtId="9" fontId="25" fillId="0" borderId="10" xfId="42" applyFont="1" applyBorder="1" applyAlignment="1">
      <alignment vertical="top"/>
    </xf>
    <xf numFmtId="9" fontId="27" fillId="0" borderId="10" xfId="42" applyFont="1" applyBorder="1" applyAlignment="1">
      <alignment vertical="top"/>
    </xf>
    <xf numFmtId="9" fontId="26" fillId="0" borderId="10" xfId="42" applyFont="1" applyBorder="1" applyAlignment="1">
      <alignment vertical="top"/>
    </xf>
    <xf numFmtId="0" fontId="16" fillId="35" borderId="0" xfId="0" applyFont="1" applyFill="1"/>
    <xf numFmtId="0" fontId="0" fillId="0" borderId="0" xfId="0" pivotButton="1"/>
    <xf numFmtId="0" fontId="0" fillId="0" borderId="0" xfId="0" applyAlignment="1">
      <alignment horizontal="left"/>
    </xf>
    <xf numFmtId="0" fontId="16" fillId="0" borderId="11" xfId="0" applyFont="1" applyBorder="1"/>
    <xf numFmtId="14" fontId="0" fillId="0" borderId="0" xfId="0" applyNumberFormat="1" applyAlignment="1">
      <alignment horizontal="left"/>
    </xf>
    <xf numFmtId="10" fontId="0" fillId="0" borderId="0" xfId="0" applyNumberFormat="1"/>
    <xf numFmtId="0" fontId="28" fillId="0" borderId="0" xfId="0" applyFont="1" applyAlignment="1">
      <alignment vertical="top"/>
    </xf>
    <xf numFmtId="2" fontId="0" fillId="0" borderId="0" xfId="0" applyNumberFormat="1"/>
    <xf numFmtId="1" fontId="0" fillId="0" borderId="0" xfId="0" applyNumberFormat="1"/>
    <xf numFmtId="1" fontId="16" fillId="35" borderId="0" xfId="0" applyNumberFormat="1" applyFont="1" applyFill="1"/>
    <xf numFmtId="10" fontId="16" fillId="0" borderId="11" xfId="42" applyNumberFormat="1" applyFont="1" applyBorder="1"/>
    <xf numFmtId="0" fontId="0" fillId="0" borderId="13" xfId="0" pivotButton="1" applyBorder="1"/>
    <xf numFmtId="9" fontId="0" fillId="0" borderId="0" xfId="42" applyFont="1"/>
    <xf numFmtId="9" fontId="16" fillId="0" borderId="14" xfId="42" applyFont="1" applyBorder="1"/>
    <xf numFmtId="9" fontId="16" fillId="0" borderId="15" xfId="42" applyFont="1" applyBorder="1"/>
    <xf numFmtId="0" fontId="0" fillId="36" borderId="0" xfId="0" applyFill="1"/>
    <xf numFmtId="164" fontId="0" fillId="0" borderId="0" xfId="42" applyNumberFormat="1" applyFont="1"/>
    <xf numFmtId="0" fontId="0" fillId="0" borderId="12" xfId="0" applyBorder="1"/>
    <xf numFmtId="0" fontId="19" fillId="0" borderId="0" xfId="0" applyFont="1" applyAlignment="1">
      <alignment horizontal="center" vertical="center"/>
    </xf>
    <xf numFmtId="0" fontId="18" fillId="34" borderId="0" xfId="0" applyFont="1" applyFill="1" applyAlignment="1">
      <alignment horizontal="center"/>
    </xf>
    <xf numFmtId="0" fontId="28" fillId="0" borderId="0" xfId="0" applyFont="1" applyAlignment="1">
      <alignment horizontal="left" vertical="top"/>
    </xf>
    <xf numFmtId="0" fontId="28" fillId="0" borderId="0" xfId="0" applyFont="1" applyAlignment="1">
      <alignment horizontal="left" vertical="center"/>
    </xf>
    <xf numFmtId="0" fontId="0" fillId="0" borderId="0" xfId="0" applyAlignment="1">
      <alignment horizontal="left" vertical="top"/>
    </xf>
    <xf numFmtId="0" fontId="30" fillId="36" borderId="0" xfId="0" applyFont="1" applyFill="1" applyAlignment="1">
      <alignment horizontal="center"/>
    </xf>
    <xf numFmtId="0" fontId="31" fillId="36" borderId="0" xfId="0" applyFont="1" applyFill="1" applyAlignment="1">
      <alignment horizontal="center" vertical="center"/>
    </xf>
    <xf numFmtId="10" fontId="31" fillId="36" borderId="0" xfId="42" applyNumberFormat="1" applyFont="1" applyFill="1" applyBorder="1" applyAlignment="1">
      <alignment horizontal="center" vertical="center"/>
    </xf>
    <xf numFmtId="0" fontId="30" fillId="36" borderId="0" xfId="0" applyFont="1" applyFill="1" applyAlignment="1">
      <alignment horizontal="center" vertical="center"/>
    </xf>
    <xf numFmtId="0" fontId="31" fillId="36" borderId="0" xfId="0" applyFont="1" applyFill="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4">
    <dxf>
      <font>
        <color rgb="FF9C0006"/>
      </font>
      <fill>
        <patternFill>
          <bgColor rgb="FFFFC7CE"/>
        </patternFill>
      </fill>
    </dxf>
    <dxf>
      <border>
        <right style="thin">
          <color rgb="FFE50914"/>
        </right>
      </border>
    </dxf>
    <dxf>
      <border>
        <right style="thin">
          <color rgb="FFE50914"/>
        </right>
      </border>
    </dxf>
    <dxf>
      <numFmt numFmtId="2" formatCode="0.00"/>
    </dxf>
    <dxf>
      <border>
        <left style="medium">
          <color rgb="FFE50914"/>
        </left>
        <top style="medium">
          <color rgb="FFE50914"/>
        </top>
        <bottom style="medium">
          <color rgb="FFE50914"/>
        </bottom>
      </border>
    </dxf>
    <dxf>
      <numFmt numFmtId="0" formatCode="General"/>
    </dxf>
    <dxf>
      <numFmt numFmtId="0" formatCode="General"/>
    </dxf>
    <dxf>
      <numFmt numFmtId="1" formatCode="0"/>
    </dxf>
    <dxf>
      <numFmt numFmtId="19" formatCode="dd/mm/yyyy"/>
    </dxf>
    <dxf>
      <font>
        <b/>
        <i val="0"/>
        <strike val="0"/>
        <condense val="0"/>
        <extend val="0"/>
        <outline val="0"/>
        <shadow val="0"/>
        <u val="none"/>
        <vertAlign val="baseline"/>
        <sz val="11"/>
        <color theme="1"/>
        <name val="Calibri"/>
        <family val="2"/>
        <scheme val="minor"/>
      </font>
    </dxf>
    <dxf>
      <font>
        <b/>
        <i val="0"/>
        <color theme="1"/>
      </font>
      <border>
        <left style="medium">
          <color rgb="FFE50914"/>
        </left>
        <right style="medium">
          <color rgb="FFE50914"/>
        </right>
        <top style="medium">
          <color rgb="FFE50914"/>
        </top>
        <bottom style="medium">
          <color rgb="FFE50914"/>
        </bottom>
      </border>
    </dxf>
    <dxf>
      <border>
        <left style="medium">
          <color rgb="FFE50914"/>
        </left>
        <right style="medium">
          <color rgb="FFE50914"/>
        </right>
        <top style="medium">
          <color rgb="FFE50914"/>
        </top>
        <bottom style="medium">
          <color rgb="FFE50914"/>
        </bottom>
        <vertical style="medium">
          <color rgb="FFE50914"/>
        </vertical>
        <horizontal style="medium">
          <color rgb="FFE50914"/>
        </horizontal>
      </border>
    </dxf>
    <dxf>
      <font>
        <b/>
        <color theme="1"/>
      </font>
    </dxf>
    <dxf>
      <font>
        <b/>
        <color theme="1"/>
      </font>
      <fill>
        <patternFill patternType="solid">
          <fgColor theme="5" tint="0.79998168889431442"/>
          <bgColor theme="5" tint="0.79998168889431442"/>
        </patternFill>
      </fill>
      <border>
        <top style="thin">
          <color rgb="FFE50914"/>
        </top>
        <bottom style="thin">
          <color rgb="FFE50914"/>
        </bottom>
      </border>
    </dxf>
    <dxf>
      <border>
        <top style="thin">
          <color rgb="FFE50914"/>
        </top>
      </border>
    </dxf>
    <dxf>
      <border>
        <top style="thin">
          <color rgb="FFE50914"/>
        </top>
      </border>
    </dxf>
    <dxf>
      <font>
        <b/>
        <color theme="1"/>
      </font>
    </dxf>
    <dxf>
      <font>
        <b/>
        <color theme="1"/>
      </font>
      <fill>
        <patternFill patternType="solid">
          <fgColor theme="5" tint="0.79998168889431442"/>
          <bgColor theme="5" tint="0.79998168889431442"/>
        </patternFill>
      </fill>
      <border>
        <top style="thin">
          <color rgb="FFE50914"/>
        </top>
        <bottom style="thin">
          <color rgb="FFE50914"/>
        </bottom>
      </border>
    </dxf>
    <dxf>
      <border>
        <left style="thin">
          <color rgb="FFE50914"/>
        </left>
        <right style="thin">
          <color rgb="FFE50914"/>
        </right>
        <top style="thin">
          <color rgb="FFE50914"/>
        </top>
        <bottom style="thin">
          <color rgb="FFE50914"/>
        </bottom>
      </border>
    </dxf>
    <dxf>
      <border>
        <left style="thin">
          <color rgb="FFE50914"/>
        </left>
        <right style="thin">
          <color rgb="FFE50914"/>
        </right>
        <top style="thin">
          <color rgb="FFE50914"/>
        </top>
        <bottom style="thin">
          <color rgb="FFE50914"/>
        </bottom>
        <vertical/>
      </border>
    </dxf>
    <dxf>
      <border>
        <right style="thin">
          <color rgb="FFE50914"/>
        </right>
      </border>
    </dxf>
    <dxf>
      <font>
        <b/>
        <color theme="1"/>
      </font>
      <border>
        <left style="medium">
          <color rgb="FFE50914"/>
        </left>
        <right style="medium">
          <color rgb="FFE50914"/>
        </right>
        <top style="medium">
          <color rgb="FFE50914"/>
        </top>
        <bottom style="medium">
          <color rgb="FFE50914"/>
        </bottom>
      </border>
    </dxf>
    <dxf>
      <font>
        <b/>
        <color theme="1"/>
      </font>
      <border>
        <left style="medium">
          <color rgb="FFE50914"/>
        </left>
        <right style="medium">
          <color rgb="FFE50914"/>
        </right>
        <top style="medium">
          <color rgb="FFE50914"/>
        </top>
        <bottom style="medium">
          <color rgb="FFE50914"/>
        </bottom>
        <horizontal style="thin">
          <color theme="0"/>
        </horizontal>
      </border>
    </dxf>
    <dxf>
      <font>
        <b/>
        <i val="0"/>
        <color theme="1"/>
      </font>
      <border>
        <left style="thin">
          <color rgb="FFE50914"/>
        </left>
        <right style="thin">
          <color rgb="FFE50914"/>
        </right>
        <top style="thin">
          <color rgb="FFE50914"/>
        </top>
        <bottom style="thin">
          <color rgb="FFE50914"/>
        </bottom>
        <horizontal style="thin">
          <color theme="5" tint="0.79998168889431442"/>
        </horizontal>
      </border>
    </dxf>
  </dxfs>
  <tableStyles count="2" defaultTableStyle="TableStyleMedium2" defaultPivotStyle="PivotStyleLight16">
    <tableStyle name="PivotStyleLight10 2" table="0" count="12" xr9:uid="{18C17E55-AD56-4CA4-A8E8-BD75CBF882E8}">
      <tableStyleElement type="wholeTable" dxfId="23"/>
      <tableStyleElement type="headerRow" dxfId="22"/>
      <tableStyleElement type="totalRow" dxfId="21"/>
      <tableStyleElement type="firstColumn" dxfId="20"/>
      <tableStyleElement type="firstRowStripe" dxfId="19"/>
      <tableStyleElement type="firstColumnStripe" dxfId="18"/>
      <tableStyleElement type="firstSubtotalRow" dxfId="17"/>
      <tableStyleElement type="secondSubtotalRow" dxfId="16"/>
      <tableStyleElement type="secondColumnSubheading" dxfId="15"/>
      <tableStyleElement type="thirdColumnSubheading" dxfId="14"/>
      <tableStyleElement type="firstRowSubheading" dxfId="13"/>
      <tableStyleElement type="secondRowSubheading" dxfId="12"/>
    </tableStyle>
    <tableStyle name="Slicer Style 1" pivot="0" table="0" count="6" xr9:uid="{D848A723-C7D7-4E10-8810-9B580B80767B}">
      <tableStyleElement type="wholeTable" dxfId="11"/>
      <tableStyleElement type="headerRow" dxfId="10"/>
    </tableStyle>
  </tableStyles>
  <colors>
    <mruColors>
      <color rgb="FFE50914"/>
      <color rgb="FFFFA3A3"/>
      <color rgb="FFD6327C"/>
      <color rgb="FF141414"/>
      <color rgb="FFFF6969"/>
      <color rgb="FFFF8F8F"/>
      <color rgb="FFFFC1C1"/>
      <color rgb="FFFFFFFF"/>
      <color rgb="FFFFEBEB"/>
    </mruColors>
  </colors>
  <extLst>
    <ext xmlns:x14="http://schemas.microsoft.com/office/spreadsheetml/2009/9/main" uri="{46F421CA-312F-682f-3DD2-61675219B42D}">
      <x14:dxfs count="4">
        <dxf>
          <font>
            <b/>
            <i val="0"/>
            <color theme="0"/>
          </font>
          <fill>
            <gradientFill degree="90">
              <stop position="0">
                <color rgb="FF141414"/>
              </stop>
              <stop position="0.5">
                <color rgb="FFE50914"/>
              </stop>
              <stop position="1">
                <color rgb="FF141414"/>
              </stop>
            </gradientFill>
          </fill>
          <border>
            <left style="thin">
              <color theme="0"/>
            </left>
            <right style="thin">
              <color theme="0"/>
            </right>
            <top style="thin">
              <color theme="0"/>
            </top>
            <bottom style="thin">
              <color theme="0"/>
            </bottom>
          </border>
        </dxf>
        <dxf>
          <font>
            <b/>
            <i val="0"/>
            <color theme="0"/>
          </font>
          <fill>
            <gradientFill degree="90">
              <stop position="0">
                <color rgb="FF141414"/>
              </stop>
              <stop position="1">
                <color rgb="FFE50914"/>
              </stop>
            </gradientFill>
          </fill>
          <border>
            <left style="thin">
              <color theme="0"/>
            </left>
            <right style="thin">
              <color theme="0"/>
            </right>
            <top style="thin">
              <color theme="0"/>
            </top>
            <bottom style="thin">
              <color theme="0"/>
            </bottom>
          </border>
        </dxf>
        <dxf>
          <font>
            <b/>
            <i val="0"/>
            <color theme="0"/>
          </font>
          <fill>
            <gradientFill degree="90">
              <stop position="0">
                <color rgb="FF141414"/>
              </stop>
              <stop position="0.5">
                <color rgb="FFE50914"/>
              </stop>
              <stop position="1">
                <color rgb="FF141414"/>
              </stop>
            </gradientFill>
          </fill>
          <border>
            <left style="medium">
              <color theme="0"/>
            </left>
            <right style="medium">
              <color theme="0"/>
            </right>
            <top style="medium">
              <color theme="0"/>
            </top>
            <bottom style="medium">
              <color theme="0"/>
            </bottom>
          </border>
        </dxf>
        <dxf>
          <font>
            <b/>
            <i val="0"/>
            <color theme="1"/>
          </font>
          <border>
            <left style="medium">
              <color rgb="FFE50914"/>
            </left>
            <right style="medium">
              <color rgb="FFE50914"/>
            </right>
            <top style="medium">
              <color rgb="FFE50914"/>
            </top>
            <bottom style="medium">
              <color rgb="FFE50914"/>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3 - Netflix Subscription Data.xlsx]Data Analysis Task!PivotTable20</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Percentage of paid vs. unpaid subscriptions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gradFill>
              <a:gsLst>
                <a:gs pos="0">
                  <a:srgbClr val="FFC000"/>
                </a:gs>
                <a:gs pos="33000">
                  <a:srgbClr val="FF6969"/>
                </a:gs>
                <a:gs pos="69000">
                  <a:srgbClr val="FF6969"/>
                </a:gs>
                <a:gs pos="100000">
                  <a:srgbClr val="E50914"/>
                </a:gs>
              </a:gsLst>
              <a:lin ang="13500000" scaled="1"/>
            </a:gradFill>
            <a:ln>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4"/>
          </a:solidFill>
          <a:ln w="19050">
            <a:solidFill>
              <a:schemeClr val="bg1"/>
            </a:solidFill>
          </a:ln>
          <a:effectLst/>
        </c:spPr>
        <c:dLbl>
          <c:idx val="0"/>
          <c:layout>
            <c:manualLayout>
              <c:x val="7.9066029143898001E-2"/>
              <c:y val="-3.0681559957576886E-2"/>
            </c:manualLayout>
          </c:layout>
          <c:spPr>
            <a:gradFill>
              <a:gsLst>
                <a:gs pos="0">
                  <a:srgbClr val="FFC000"/>
                </a:gs>
                <a:gs pos="33000">
                  <a:srgbClr val="FF6969"/>
                </a:gs>
                <a:gs pos="69000">
                  <a:srgbClr val="FF6969"/>
                </a:gs>
                <a:gs pos="100000">
                  <a:srgbClr val="E50914"/>
                </a:gs>
              </a:gsLst>
              <a:lin ang="13500000" scaled="1"/>
            </a:gradFill>
            <a:ln>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gradFill>
            <a:gsLst>
              <a:gs pos="69000">
                <a:srgbClr val="FF6969"/>
              </a:gs>
              <a:gs pos="0">
                <a:srgbClr val="D6327C"/>
              </a:gs>
              <a:gs pos="100000">
                <a:srgbClr val="E50914"/>
              </a:gs>
            </a:gsLst>
            <a:path path="circle">
              <a:fillToRect l="50000" t="-80000" r="50000" b="180000"/>
            </a:path>
          </a:gradFill>
          <a:ln w="19050">
            <a:solidFill>
              <a:schemeClr val="bg1"/>
            </a:solidFill>
          </a:ln>
          <a:effectLst/>
        </c:spPr>
        <c:dLbl>
          <c:idx val="0"/>
          <c:layout>
            <c:manualLayout>
              <c:x val="-6.6849499089253195E-2"/>
              <c:y val="-6.0515808198542145E-2"/>
            </c:manualLayout>
          </c:layout>
          <c:spPr>
            <a:gradFill>
              <a:gsLst>
                <a:gs pos="0">
                  <a:srgbClr val="E50914"/>
                </a:gs>
                <a:gs pos="33000">
                  <a:srgbClr val="FF6969"/>
                </a:gs>
                <a:gs pos="69000">
                  <a:srgbClr val="FF6969"/>
                </a:gs>
                <a:gs pos="100000">
                  <a:srgbClr val="E50914"/>
                </a:gs>
              </a:gsLst>
              <a:lin ang="13500000" scaled="1"/>
            </a:gradFill>
            <a:ln>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'Data Analysis Task'!$B$89</c:f>
              <c:strCache>
                <c:ptCount val="1"/>
                <c:pt idx="0">
                  <c:v>Total</c:v>
                </c:pt>
              </c:strCache>
            </c:strRef>
          </c:tx>
          <c:dPt>
            <c:idx val="0"/>
            <c:bubble3D val="0"/>
            <c:spPr>
              <a:solidFill>
                <a:schemeClr val="accent4"/>
              </a:solidFill>
              <a:ln w="19050">
                <a:solidFill>
                  <a:schemeClr val="bg1"/>
                </a:solidFill>
              </a:ln>
              <a:effectLst/>
            </c:spPr>
            <c:extLst>
              <c:ext xmlns:c16="http://schemas.microsoft.com/office/drawing/2014/chart" uri="{C3380CC4-5D6E-409C-BE32-E72D297353CC}">
                <c16:uniqueId val="{00000001-915D-4FA6-8454-A18BBFB49C1C}"/>
              </c:ext>
            </c:extLst>
          </c:dPt>
          <c:dPt>
            <c:idx val="1"/>
            <c:bubble3D val="0"/>
            <c:spPr>
              <a:gradFill>
                <a:gsLst>
                  <a:gs pos="69000">
                    <a:srgbClr val="FF6969"/>
                  </a:gs>
                  <a:gs pos="0">
                    <a:srgbClr val="D6327C"/>
                  </a:gs>
                  <a:gs pos="100000">
                    <a:srgbClr val="E50914"/>
                  </a:gs>
                </a:gsLst>
                <a:path path="circle">
                  <a:fillToRect l="50000" t="-80000" r="50000" b="180000"/>
                </a:path>
              </a:gradFill>
              <a:ln w="19050">
                <a:solidFill>
                  <a:schemeClr val="bg1"/>
                </a:solidFill>
              </a:ln>
              <a:effectLst/>
            </c:spPr>
            <c:extLst>
              <c:ext xmlns:c16="http://schemas.microsoft.com/office/drawing/2014/chart" uri="{C3380CC4-5D6E-409C-BE32-E72D297353CC}">
                <c16:uniqueId val="{00000003-915D-4FA6-8454-A18BBFB49C1C}"/>
              </c:ext>
            </c:extLst>
          </c:dPt>
          <c:dLbls>
            <c:dLbl>
              <c:idx val="0"/>
              <c:layout>
                <c:manualLayout>
                  <c:x val="7.9066029143898001E-2"/>
                  <c:y val="-3.068155995757688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15D-4FA6-8454-A18BBFB49C1C}"/>
                </c:ext>
              </c:extLst>
            </c:dLbl>
            <c:dLbl>
              <c:idx val="1"/>
              <c:layout>
                <c:manualLayout>
                  <c:x val="-6.6849499089253195E-2"/>
                  <c:y val="-6.0515808198542145E-2"/>
                </c:manualLayout>
              </c:layout>
              <c:spPr>
                <a:gradFill>
                  <a:gsLst>
                    <a:gs pos="0">
                      <a:srgbClr val="E50914"/>
                    </a:gs>
                    <a:gs pos="33000">
                      <a:srgbClr val="FF6969"/>
                    </a:gs>
                    <a:gs pos="69000">
                      <a:srgbClr val="FF6969"/>
                    </a:gs>
                    <a:gs pos="100000">
                      <a:srgbClr val="E50914"/>
                    </a:gs>
                  </a:gsLst>
                  <a:lin ang="13500000" scaled="1"/>
                </a:gradFill>
                <a:ln>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15D-4FA6-8454-A18BBFB49C1C}"/>
                </c:ext>
              </c:extLst>
            </c:dLbl>
            <c:spPr>
              <a:gradFill>
                <a:gsLst>
                  <a:gs pos="0">
                    <a:srgbClr val="FFC000"/>
                  </a:gs>
                  <a:gs pos="33000">
                    <a:srgbClr val="FF6969"/>
                  </a:gs>
                  <a:gs pos="69000">
                    <a:srgbClr val="FF6969"/>
                  </a:gs>
                  <a:gs pos="100000">
                    <a:srgbClr val="E50914"/>
                  </a:gs>
                </a:gsLst>
                <a:lin ang="13500000" scaled="1"/>
              </a:gradFill>
              <a:ln>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19050"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 Task'!$A$90:$A$92</c:f>
              <c:strCache>
                <c:ptCount val="2"/>
                <c:pt idx="0">
                  <c:v>Unpaid</c:v>
                </c:pt>
                <c:pt idx="1">
                  <c:v>Paid</c:v>
                </c:pt>
              </c:strCache>
            </c:strRef>
          </c:cat>
          <c:val>
            <c:numRef>
              <c:f>'Data Analysis Task'!$B$90:$B$92</c:f>
              <c:numCache>
                <c:formatCode>0.00%</c:formatCode>
                <c:ptCount val="2"/>
                <c:pt idx="0">
                  <c:v>4.3336591723688499E-2</c:v>
                </c:pt>
                <c:pt idx="1">
                  <c:v>0.95666340827631147</c:v>
                </c:pt>
              </c:numCache>
            </c:numRef>
          </c:val>
          <c:extLst>
            <c:ext xmlns:c16="http://schemas.microsoft.com/office/drawing/2014/chart" uri="{C3380CC4-5D6E-409C-BE32-E72D297353CC}">
              <c16:uniqueId val="{00000004-915D-4FA6-8454-A18BBFB49C1C}"/>
            </c:ext>
          </c:extLst>
        </c:ser>
        <c:dLbls>
          <c:dLblPos val="outEnd"/>
          <c:showLegendKey val="0"/>
          <c:showVal val="1"/>
          <c:showCatName val="0"/>
          <c:showSerName val="0"/>
          <c:showPercent val="0"/>
          <c:showBubbleSize val="0"/>
          <c:showLeaderLines val="1"/>
        </c:dLbls>
        <c:firstSliceAng val="81"/>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E50914">
            <a:lumMod val="100000"/>
          </a:srgbClr>
        </a:gs>
        <a:gs pos="33000">
          <a:srgbClr val="141414"/>
        </a:gs>
        <a:gs pos="69000">
          <a:srgbClr val="141414"/>
        </a:gs>
        <a:gs pos="100000">
          <a:srgbClr val="E50914"/>
        </a:gs>
      </a:gsLst>
      <a:lin ang="13500000" scaled="1"/>
    </a:gra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3 - Netflix Subscription Data.xlsx]Data Analysis Task!PivotTable21</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Subscriptions by weekday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69000">
                <a:srgbClr val="FF6969"/>
              </a:gs>
              <a:gs pos="0">
                <a:srgbClr val="D6327C"/>
              </a:gs>
              <a:gs pos="100000">
                <a:srgbClr val="E50914"/>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4"/>
            </a:solidFill>
            <a:round/>
          </a:ln>
          <a:effectLst/>
        </c:spPr>
        <c:marker>
          <c:symbol val="circle"/>
          <c:size val="5"/>
          <c:spPr>
            <a:solidFill>
              <a:srgbClr val="0070C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rgbClr val="E50914"/>
              </a:gs>
              <a:gs pos="80000">
                <a:srgbClr val="FF6969"/>
              </a:gs>
              <a:gs pos="100000">
                <a:srgbClr val="D6327C"/>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4"/>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495446265938063E-2"/>
          <c:y val="0.27033043346862107"/>
          <c:w val="0.79954326047358837"/>
          <c:h val="0.47228383335135116"/>
        </c:manualLayout>
      </c:layout>
      <c:barChart>
        <c:barDir val="col"/>
        <c:grouping val="clustered"/>
        <c:varyColors val="0"/>
        <c:ser>
          <c:idx val="0"/>
          <c:order val="0"/>
          <c:tx>
            <c:strRef>
              <c:f>'Data Analysis Task'!$F$89</c:f>
              <c:strCache>
                <c:ptCount val="1"/>
                <c:pt idx="0">
                  <c:v>Number Of Subscription</c:v>
                </c:pt>
              </c:strCache>
            </c:strRef>
          </c:tx>
          <c:spPr>
            <a:gradFill flip="none" rotWithShape="1">
              <a:gsLst>
                <a:gs pos="0">
                  <a:srgbClr val="E50914"/>
                </a:gs>
                <a:gs pos="80000">
                  <a:srgbClr val="FF6969"/>
                </a:gs>
                <a:gs pos="100000">
                  <a:srgbClr val="D6327C"/>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 Task'!$E$90:$E$96</c:f>
              <c:strCache>
                <c:ptCount val="7"/>
                <c:pt idx="0">
                  <c:v>Sunday</c:v>
                </c:pt>
                <c:pt idx="1">
                  <c:v>Monday</c:v>
                </c:pt>
                <c:pt idx="2">
                  <c:v>Tuesday</c:v>
                </c:pt>
                <c:pt idx="3">
                  <c:v>Wednesday</c:v>
                </c:pt>
                <c:pt idx="4">
                  <c:v>Thursday</c:v>
                </c:pt>
                <c:pt idx="5">
                  <c:v>Friday</c:v>
                </c:pt>
                <c:pt idx="6">
                  <c:v>Saturday</c:v>
                </c:pt>
              </c:strCache>
            </c:strRef>
          </c:cat>
          <c:val>
            <c:numRef>
              <c:f>'Data Analysis Task'!$F$90:$F$96</c:f>
              <c:numCache>
                <c:formatCode>General</c:formatCode>
                <c:ptCount val="7"/>
                <c:pt idx="0">
                  <c:v>306</c:v>
                </c:pt>
                <c:pt idx="1">
                  <c:v>539</c:v>
                </c:pt>
                <c:pt idx="2">
                  <c:v>487</c:v>
                </c:pt>
                <c:pt idx="3">
                  <c:v>472</c:v>
                </c:pt>
                <c:pt idx="4">
                  <c:v>505</c:v>
                </c:pt>
                <c:pt idx="5">
                  <c:v>452</c:v>
                </c:pt>
                <c:pt idx="6">
                  <c:v>308</c:v>
                </c:pt>
              </c:numCache>
            </c:numRef>
          </c:val>
          <c:extLst>
            <c:ext xmlns:c16="http://schemas.microsoft.com/office/drawing/2014/chart" uri="{C3380CC4-5D6E-409C-BE32-E72D297353CC}">
              <c16:uniqueId val="{00000003-CC5C-4BC2-BB15-FB71EDB8B9E5}"/>
            </c:ext>
          </c:extLst>
        </c:ser>
        <c:dLbls>
          <c:dLblPos val="inBase"/>
          <c:showLegendKey val="0"/>
          <c:showVal val="1"/>
          <c:showCatName val="0"/>
          <c:showSerName val="0"/>
          <c:showPercent val="0"/>
          <c:showBubbleSize val="0"/>
        </c:dLbls>
        <c:gapWidth val="219"/>
        <c:axId val="433160783"/>
        <c:axId val="433161263"/>
      </c:barChart>
      <c:lineChart>
        <c:grouping val="stacked"/>
        <c:varyColors val="0"/>
        <c:ser>
          <c:idx val="1"/>
          <c:order val="1"/>
          <c:tx>
            <c:strRef>
              <c:f>'Data Analysis Task'!$G$89</c:f>
              <c:strCache>
                <c:ptCount val="1"/>
                <c:pt idx="0">
                  <c:v>% Subscription per Day</c:v>
                </c:pt>
              </c:strCache>
            </c:strRef>
          </c:tx>
          <c:spPr>
            <a:ln w="28575" cap="rnd">
              <a:solidFill>
                <a:schemeClr val="accent4"/>
              </a:solidFill>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 Task'!$E$90:$E$96</c:f>
              <c:strCache>
                <c:ptCount val="7"/>
                <c:pt idx="0">
                  <c:v>Sunday</c:v>
                </c:pt>
                <c:pt idx="1">
                  <c:v>Monday</c:v>
                </c:pt>
                <c:pt idx="2">
                  <c:v>Tuesday</c:v>
                </c:pt>
                <c:pt idx="3">
                  <c:v>Wednesday</c:v>
                </c:pt>
                <c:pt idx="4">
                  <c:v>Thursday</c:v>
                </c:pt>
                <c:pt idx="5">
                  <c:v>Friday</c:v>
                </c:pt>
                <c:pt idx="6">
                  <c:v>Saturday</c:v>
                </c:pt>
              </c:strCache>
            </c:strRef>
          </c:cat>
          <c:val>
            <c:numRef>
              <c:f>'Data Analysis Task'!$G$90:$G$96</c:f>
              <c:numCache>
                <c:formatCode>0.00%</c:formatCode>
                <c:ptCount val="7"/>
                <c:pt idx="0">
                  <c:v>9.9706744868035185E-2</c:v>
                </c:pt>
                <c:pt idx="1">
                  <c:v>0.17562724014336917</c:v>
                </c:pt>
                <c:pt idx="2">
                  <c:v>0.15868361029651351</c:v>
                </c:pt>
                <c:pt idx="3">
                  <c:v>0.15379602476376669</c:v>
                </c:pt>
                <c:pt idx="4">
                  <c:v>0.16454871293580972</c:v>
                </c:pt>
                <c:pt idx="5">
                  <c:v>0.14727924405343759</c:v>
                </c:pt>
                <c:pt idx="6">
                  <c:v>0.1003584229390681</c:v>
                </c:pt>
              </c:numCache>
            </c:numRef>
          </c:val>
          <c:smooth val="0"/>
          <c:extLst>
            <c:ext xmlns:c16="http://schemas.microsoft.com/office/drawing/2014/chart" uri="{C3380CC4-5D6E-409C-BE32-E72D297353CC}">
              <c16:uniqueId val="{00000004-CC5C-4BC2-BB15-FB71EDB8B9E5}"/>
            </c:ext>
          </c:extLst>
        </c:ser>
        <c:dLbls>
          <c:showLegendKey val="0"/>
          <c:showVal val="1"/>
          <c:showCatName val="0"/>
          <c:showSerName val="0"/>
          <c:showPercent val="0"/>
          <c:showBubbleSize val="0"/>
        </c:dLbls>
        <c:marker val="1"/>
        <c:smooth val="0"/>
        <c:axId val="385265087"/>
        <c:axId val="385263167"/>
      </c:lineChart>
      <c:catAx>
        <c:axId val="43316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3161263"/>
        <c:crosses val="autoZero"/>
        <c:auto val="1"/>
        <c:lblAlgn val="ctr"/>
        <c:lblOffset val="100"/>
        <c:noMultiLvlLbl val="0"/>
      </c:catAx>
      <c:valAx>
        <c:axId val="433161263"/>
        <c:scaling>
          <c:orientation val="minMax"/>
        </c:scaling>
        <c:delete val="0"/>
        <c:axPos val="l"/>
        <c:majorGridlines>
          <c:spPr>
            <a:ln w="9525" cap="flat" cmpd="sng" algn="ctr">
              <a:solidFill>
                <a:schemeClr val="tx1">
                  <a:lumMod val="75000"/>
                  <a:lumOff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3160783"/>
        <c:crosses val="autoZero"/>
        <c:crossBetween val="between"/>
      </c:valAx>
      <c:valAx>
        <c:axId val="38526316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85265087"/>
        <c:crosses val="max"/>
        <c:crossBetween val="between"/>
      </c:valAx>
      <c:catAx>
        <c:axId val="385265087"/>
        <c:scaling>
          <c:orientation val="minMax"/>
        </c:scaling>
        <c:delete val="1"/>
        <c:axPos val="b"/>
        <c:numFmt formatCode="General" sourceLinked="1"/>
        <c:majorTickMark val="out"/>
        <c:minorTickMark val="none"/>
        <c:tickLblPos val="nextTo"/>
        <c:crossAx val="385263167"/>
        <c:crosses val="autoZero"/>
        <c:auto val="1"/>
        <c:lblAlgn val="ctr"/>
        <c:lblOffset val="100"/>
        <c:noMultiLvlLbl val="0"/>
      </c:catAx>
      <c:spPr>
        <a:noFill/>
        <a:ln>
          <a:solidFill>
            <a:schemeClr val="bg1"/>
          </a:solid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E50914">
            <a:lumMod val="100000"/>
          </a:srgbClr>
        </a:gs>
        <a:gs pos="33000">
          <a:srgbClr val="141414"/>
        </a:gs>
        <a:gs pos="69000">
          <a:srgbClr val="141414"/>
        </a:gs>
        <a:gs pos="100000">
          <a:srgbClr val="E50914"/>
        </a:gs>
      </a:gsLst>
      <a:lin ang="135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3 - Netflix Subscription Data.xlsx]Data Analysis Task!PivotTable22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Subscription cancellations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 Task'!$F$72</c:f>
              <c:strCache>
                <c:ptCount val="1"/>
                <c:pt idx="0">
                  <c:v>Total</c:v>
                </c:pt>
              </c:strCache>
            </c:strRef>
          </c:tx>
          <c:spPr>
            <a:ln w="28575" cap="rnd">
              <a:solidFill>
                <a:schemeClr val="accent4"/>
              </a:solidFill>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 Task'!$E$73:$E$74</c:f>
              <c:strCache>
                <c:ptCount val="2"/>
                <c:pt idx="0">
                  <c:v>2022</c:v>
                </c:pt>
                <c:pt idx="1">
                  <c:v>2023</c:v>
                </c:pt>
              </c:strCache>
            </c:strRef>
          </c:cat>
          <c:val>
            <c:numRef>
              <c:f>'Data Analysis Task'!$F$73:$F$74</c:f>
              <c:numCache>
                <c:formatCode>General</c:formatCode>
                <c:ptCount val="2"/>
                <c:pt idx="0">
                  <c:v>719</c:v>
                </c:pt>
                <c:pt idx="1">
                  <c:v>1285</c:v>
                </c:pt>
              </c:numCache>
            </c:numRef>
          </c:val>
          <c:smooth val="0"/>
          <c:extLst>
            <c:ext xmlns:c16="http://schemas.microsoft.com/office/drawing/2014/chart" uri="{C3380CC4-5D6E-409C-BE32-E72D297353CC}">
              <c16:uniqueId val="{00000000-67D0-49BB-ACC3-CF4A63C8F45B}"/>
            </c:ext>
          </c:extLst>
        </c:ser>
        <c:dLbls>
          <c:dLblPos val="b"/>
          <c:showLegendKey val="0"/>
          <c:showVal val="1"/>
          <c:showCatName val="0"/>
          <c:showSerName val="0"/>
          <c:showPercent val="0"/>
          <c:showBubbleSize val="0"/>
        </c:dLbls>
        <c:marker val="1"/>
        <c:smooth val="0"/>
        <c:axId val="19596095"/>
        <c:axId val="19584095"/>
      </c:lineChart>
      <c:catAx>
        <c:axId val="19596095"/>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584095"/>
        <c:crosses val="autoZero"/>
        <c:auto val="1"/>
        <c:lblAlgn val="ctr"/>
        <c:lblOffset val="100"/>
        <c:noMultiLvlLbl val="0"/>
      </c:catAx>
      <c:valAx>
        <c:axId val="19584095"/>
        <c:scaling>
          <c:orientation val="minMax"/>
        </c:scaling>
        <c:delete val="0"/>
        <c:axPos val="l"/>
        <c:majorGridlines>
          <c:spPr>
            <a:ln w="9525" cap="flat" cmpd="sng" algn="ctr">
              <a:solidFill>
                <a:schemeClr val="tx1">
                  <a:lumMod val="75000"/>
                  <a:lumOff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596095"/>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E50914">
            <a:lumMod val="100000"/>
          </a:srgbClr>
        </a:gs>
        <a:gs pos="33000">
          <a:srgbClr val="141414"/>
        </a:gs>
        <a:gs pos="69000">
          <a:srgbClr val="141414"/>
        </a:gs>
        <a:gs pos="100000">
          <a:srgbClr val="E50914"/>
        </a:gs>
      </a:gsLst>
      <a:lin ang="135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3 - Netflix Subscription Data.xlsx]Data Analysis Task!PivotTable19</c:name>
    <c:fmtId val="2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a:solidFill>
                  <a:schemeClr val="bg1"/>
                </a:solidFill>
              </a:rPr>
              <a:t>number of new subscriptions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 Task'!$B$72</c:f>
              <c:strCache>
                <c:ptCount val="1"/>
                <c:pt idx="0">
                  <c:v>Total</c:v>
                </c:pt>
              </c:strCache>
            </c:strRef>
          </c:tx>
          <c:spPr>
            <a:ln w="28575" cap="rnd">
              <a:solidFill>
                <a:schemeClr val="accent4"/>
              </a:solidFill>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 Task'!$A$73:$A$84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Analysis Task'!$B$73:$B$84</c:f>
              <c:numCache>
                <c:formatCode>General</c:formatCode>
                <c:ptCount val="12"/>
                <c:pt idx="0">
                  <c:v>273</c:v>
                </c:pt>
                <c:pt idx="1">
                  <c:v>275</c:v>
                </c:pt>
                <c:pt idx="2">
                  <c:v>266</c:v>
                </c:pt>
                <c:pt idx="3">
                  <c:v>223</c:v>
                </c:pt>
                <c:pt idx="4">
                  <c:v>285</c:v>
                </c:pt>
                <c:pt idx="5">
                  <c:v>275</c:v>
                </c:pt>
                <c:pt idx="6">
                  <c:v>306</c:v>
                </c:pt>
                <c:pt idx="7">
                  <c:v>268</c:v>
                </c:pt>
                <c:pt idx="8">
                  <c:v>283</c:v>
                </c:pt>
                <c:pt idx="9">
                  <c:v>196</c:v>
                </c:pt>
                <c:pt idx="10">
                  <c:v>189</c:v>
                </c:pt>
                <c:pt idx="11">
                  <c:v>230</c:v>
                </c:pt>
              </c:numCache>
            </c:numRef>
          </c:val>
          <c:smooth val="0"/>
          <c:extLst>
            <c:ext xmlns:c16="http://schemas.microsoft.com/office/drawing/2014/chart" uri="{C3380CC4-5D6E-409C-BE32-E72D297353CC}">
              <c16:uniqueId val="{00000000-880E-4A7E-B874-331B453F9046}"/>
            </c:ext>
          </c:extLst>
        </c:ser>
        <c:dLbls>
          <c:dLblPos val="t"/>
          <c:showLegendKey val="0"/>
          <c:showVal val="1"/>
          <c:showCatName val="0"/>
          <c:showSerName val="0"/>
          <c:showPercent val="0"/>
          <c:showBubbleSize val="0"/>
        </c:dLbls>
        <c:marker val="1"/>
        <c:smooth val="0"/>
        <c:axId val="736849263"/>
        <c:axId val="736835343"/>
      </c:lineChart>
      <c:catAx>
        <c:axId val="736849263"/>
        <c:scaling>
          <c:orientation val="minMax"/>
        </c:scaling>
        <c:delete val="0"/>
        <c:axPos val="b"/>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6835343"/>
        <c:crosses val="autoZero"/>
        <c:auto val="1"/>
        <c:lblAlgn val="ctr"/>
        <c:lblOffset val="100"/>
        <c:noMultiLvlLbl val="0"/>
      </c:catAx>
      <c:valAx>
        <c:axId val="736835343"/>
        <c:scaling>
          <c:orientation val="minMax"/>
        </c:scaling>
        <c:delete val="0"/>
        <c:axPos val="l"/>
        <c:majorGridlines>
          <c:spPr>
            <a:ln w="9525" cap="flat" cmpd="sng" algn="ctr">
              <a:solidFill>
                <a:schemeClr val="tx1">
                  <a:lumMod val="75000"/>
                  <a:lumOff val="25000"/>
                </a:schemeClr>
              </a:solidFill>
              <a:round/>
            </a:ln>
            <a:effectLst/>
          </c:spPr>
        </c:majorGridlines>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6849263"/>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E50914">
            <a:lumMod val="100000"/>
          </a:srgbClr>
        </a:gs>
        <a:gs pos="33000">
          <a:srgbClr val="141414"/>
        </a:gs>
        <a:gs pos="69000">
          <a:srgbClr val="141414"/>
        </a:gs>
        <a:gs pos="100000">
          <a:srgbClr val="E50914"/>
        </a:gs>
      </a:gsLst>
      <a:lin ang="13500000" scaled="1"/>
    </a:gradFill>
    <a:ln w="9525" cap="flat" cmpd="sng" algn="ctr">
      <a:solidFill>
        <a:schemeClr val="tx1">
          <a:lumMod val="15000"/>
          <a:lumOff val="85000"/>
        </a:schemeClr>
      </a:solid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microsoft.com/office/2007/relationships/hdphoto" Target="../media/hdphoto2.wdp"/><Relationship Id="rId3" Type="http://schemas.openxmlformats.org/officeDocument/2006/relationships/chart" Target="../charts/chart1.xml"/><Relationship Id="rId7" Type="http://schemas.openxmlformats.org/officeDocument/2006/relationships/image" Target="../media/image3.png"/><Relationship Id="rId12" Type="http://schemas.microsoft.com/office/2007/relationships/hdphoto" Target="../media/hdphoto4.wdp"/><Relationship Id="rId2" Type="http://schemas.microsoft.com/office/2007/relationships/hdphoto" Target="../media/hdphoto1.wdp"/><Relationship Id="rId1" Type="http://schemas.openxmlformats.org/officeDocument/2006/relationships/image" Target="../media/image2.png"/><Relationship Id="rId6" Type="http://schemas.openxmlformats.org/officeDocument/2006/relationships/chart" Target="../charts/chart4.xml"/><Relationship Id="rId11" Type="http://schemas.openxmlformats.org/officeDocument/2006/relationships/image" Target="../media/image5.png"/><Relationship Id="rId5" Type="http://schemas.openxmlformats.org/officeDocument/2006/relationships/chart" Target="../charts/chart3.xml"/><Relationship Id="rId10" Type="http://schemas.microsoft.com/office/2007/relationships/hdphoto" Target="../media/hdphoto3.wdp"/><Relationship Id="rId4" Type="http://schemas.openxmlformats.org/officeDocument/2006/relationships/chart" Target="../charts/chart2.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160020</xdr:colOff>
      <xdr:row>4</xdr:row>
      <xdr:rowOff>152400</xdr:rowOff>
    </xdr:from>
    <xdr:to>
      <xdr:col>22</xdr:col>
      <xdr:colOff>0</xdr:colOff>
      <xdr:row>27</xdr:row>
      <xdr:rowOff>175260</xdr:rowOff>
    </xdr:to>
    <xdr:sp macro="" textlink="">
      <xdr:nvSpPr>
        <xdr:cNvPr id="4" name="Rectangle: Diagonal Corners Rounded 3">
          <a:extLst>
            <a:ext uri="{FF2B5EF4-FFF2-40B4-BE49-F238E27FC236}">
              <a16:creationId xmlns:a16="http://schemas.microsoft.com/office/drawing/2014/main" id="{27B5B1EA-A1CA-B240-47D7-CFC891E14006}"/>
            </a:ext>
          </a:extLst>
        </xdr:cNvPr>
        <xdr:cNvSpPr/>
      </xdr:nvSpPr>
      <xdr:spPr>
        <a:xfrm>
          <a:off x="160020" y="1066800"/>
          <a:ext cx="13251180" cy="4229100"/>
        </a:xfrm>
        <a:prstGeom prst="round2DiagRect">
          <a:avLst/>
        </a:prstGeom>
        <a:solidFill>
          <a:srgbClr val="FFEBEB"/>
        </a:solidFill>
        <a:ln>
          <a:solidFill>
            <a:srgbClr val="C00000"/>
          </a:solidFill>
        </a:ln>
        <a:effectLst>
          <a:innerShdw blurRad="127000" dist="25400" dir="12600000">
            <a:srgbClr val="C00000">
              <a:alpha val="87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i="0" cap="all">
              <a:solidFill>
                <a:schemeClr val="accent2">
                  <a:lumMod val="50000"/>
                </a:schemeClr>
              </a:solidFill>
              <a:effectLst/>
              <a:latin typeface="+mn-lt"/>
              <a:ea typeface="+mn-ea"/>
              <a:cs typeface="+mn-cs"/>
            </a:rPr>
            <a:t>Business scenario:</a:t>
          </a:r>
        </a:p>
        <a:p>
          <a:pPr algn="ctr"/>
          <a:endParaRPr lang="en-IN" sz="1100">
            <a:solidFill>
              <a:schemeClr val="accent2">
                <a:lumMod val="50000"/>
              </a:schemeClr>
            </a:solidFill>
          </a:endParaRPr>
        </a:p>
        <a:p>
          <a:r>
            <a:rPr lang="en-IN" sz="1800" b="0" i="0">
              <a:solidFill>
                <a:schemeClr val="accent2">
                  <a:lumMod val="50000"/>
                </a:schemeClr>
              </a:solidFill>
              <a:effectLst/>
              <a:latin typeface="+mn-lt"/>
              <a:ea typeface="+mn-ea"/>
              <a:cs typeface="+mn-cs"/>
            </a:rPr>
            <a:t>You are a Data Analyst at Netflix's subscriber insights team. The business has observed fluctuating subscription and cancellation patterns over the past year and wants a clearer picture of subscriber behaviour, payment reliability, and churn trends. Management needs data-driven answers to guide retention strategies, billing optimisations, and marketing timing decisions.</a:t>
          </a:r>
        </a:p>
        <a:p>
          <a:endParaRPr lang="en-IN" sz="1800" b="0" i="0">
            <a:solidFill>
              <a:schemeClr val="accent2">
                <a:lumMod val="50000"/>
              </a:schemeClr>
            </a:solidFill>
            <a:effectLst/>
            <a:latin typeface="+mn-lt"/>
            <a:ea typeface="+mn-ea"/>
            <a:cs typeface="+mn-cs"/>
          </a:endParaRPr>
        </a:p>
        <a:p>
          <a:r>
            <a:rPr lang="en-IN" sz="1800" b="0" i="0">
              <a:solidFill>
                <a:schemeClr val="accent2">
                  <a:lumMod val="50000"/>
                </a:schemeClr>
              </a:solidFill>
              <a:effectLst/>
              <a:latin typeface="+mn-lt"/>
              <a:ea typeface="+mn-ea"/>
              <a:cs typeface="+mn-cs"/>
            </a:rPr>
            <a:t>Using the subscription dataset covering 01 Sep 2022 to 08 Sep 2023, your task is to prepare the data, perform structured analysis, and present your findings through a comprehensive Excel dashboard. You will investigate when subscribers are most likely to cancel, how quickly cancellations occur after sign-up, the proportion of unpaid subscriptions, and how subscription volume varies over time and by weekday.</a:t>
          </a:r>
        </a:p>
        <a:p>
          <a:endParaRPr lang="en-IN" sz="1800" b="0" i="0">
            <a:solidFill>
              <a:schemeClr val="accent2">
                <a:lumMod val="50000"/>
              </a:schemeClr>
            </a:solidFill>
            <a:effectLst/>
            <a:latin typeface="+mn-lt"/>
            <a:ea typeface="+mn-ea"/>
            <a:cs typeface="+mn-cs"/>
          </a:endParaRPr>
        </a:p>
        <a:p>
          <a:r>
            <a:rPr lang="en-IN" sz="1800" b="0" i="0">
              <a:solidFill>
                <a:schemeClr val="accent2">
                  <a:lumMod val="50000"/>
                </a:schemeClr>
              </a:solidFill>
              <a:effectLst/>
              <a:latin typeface="+mn-lt"/>
              <a:ea typeface="+mn-ea"/>
              <a:cs typeface="+mn-cs"/>
            </a:rPr>
            <a:t>All analysis tasks must be completed within the designated worksheet. Prepare calculated columns first, then answer each analytical question using Excel formulas, and finally build the required visualisations and dashboard based on your findings.</a:t>
          </a:r>
        </a:p>
        <a:p>
          <a:pPr algn="l"/>
          <a:endParaRPr lang="en-IN" sz="1100">
            <a:solidFill>
              <a:schemeClr val="accent2">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198120</xdr:colOff>
      <xdr:row>0</xdr:row>
      <xdr:rowOff>68580</xdr:rowOff>
    </xdr:from>
    <xdr:to>
      <xdr:col>15</xdr:col>
      <xdr:colOff>464820</xdr:colOff>
      <xdr:row>48</xdr:row>
      <xdr:rowOff>106680</xdr:rowOff>
    </xdr:to>
    <xdr:sp macro="" textlink="">
      <xdr:nvSpPr>
        <xdr:cNvPr id="2" name="TextBox 1">
          <a:extLst>
            <a:ext uri="{FF2B5EF4-FFF2-40B4-BE49-F238E27FC236}">
              <a16:creationId xmlns:a16="http://schemas.microsoft.com/office/drawing/2014/main" id="{E04B6730-2C9D-4D98-831E-73E083F0A61D}"/>
            </a:ext>
          </a:extLst>
        </xdr:cNvPr>
        <xdr:cNvSpPr txBox="1"/>
      </xdr:nvSpPr>
      <xdr:spPr>
        <a:xfrm>
          <a:off x="807720" y="68580"/>
          <a:ext cx="8801100" cy="8816340"/>
        </a:xfrm>
        <a:prstGeom prst="roundRect">
          <a:avLst>
            <a:gd name="adj" fmla="val 5868"/>
          </a:avLst>
        </a:prstGeom>
        <a:solidFill>
          <a:srgbClr val="FFEBEB"/>
        </a:solidFill>
        <a:ln w="12700"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2">
                  <a:lumMod val="50000"/>
                </a:schemeClr>
              </a:solidFill>
            </a:rPr>
            <a:t>Task:</a:t>
          </a:r>
        </a:p>
        <a:p>
          <a:endParaRPr lang="en-IN" b="1"/>
        </a:p>
        <a:p>
          <a:r>
            <a:rPr lang="en-IN" sz="1200" b="1" u="sng">
              <a:solidFill>
                <a:schemeClr val="dk1"/>
              </a:solidFill>
              <a:latin typeface="+mn-lt"/>
              <a:ea typeface="+mn-ea"/>
              <a:cs typeface="+mn-cs"/>
            </a:rPr>
            <a:t>Data Prepration:</a:t>
          </a:r>
        </a:p>
        <a:p>
          <a:pPr lvl="1"/>
          <a:r>
            <a:rPr lang="en-IN" sz="1200" b="0"/>
            <a:t>1.</a:t>
          </a:r>
          <a:r>
            <a:rPr lang="en-IN" sz="1200" b="0" baseline="0"/>
            <a:t> Create a new column Cancellation Duration.  This will contain the difference between date created and cancelled in days.</a:t>
          </a:r>
        </a:p>
        <a:p>
          <a:pPr lvl="1"/>
          <a:r>
            <a:rPr lang="en-IN" sz="1100" b="0" i="1">
              <a:solidFill>
                <a:schemeClr val="dk1"/>
              </a:solidFill>
              <a:effectLst/>
              <a:latin typeface="+mn-lt"/>
              <a:ea typeface="+mn-ea"/>
              <a:cs typeface="+mn-cs"/>
            </a:rPr>
            <a:t>Difference in days between canceled_date and created_date. Leave blank if canceled_date is empty (subscription still active).</a:t>
          </a:r>
        </a:p>
        <a:p>
          <a:pPr lvl="1"/>
          <a:endParaRPr lang="en-IN" sz="1200" b="0" i="1" baseline="0"/>
        </a:p>
        <a:p>
          <a:pPr lvl="1"/>
          <a:r>
            <a:rPr lang="en-IN" sz="1200" b="0" baseline="0"/>
            <a:t>2. Create another column to show the weekday when the subscription was created.</a:t>
          </a:r>
        </a:p>
        <a:p>
          <a:pPr lvl="1"/>
          <a:r>
            <a:rPr lang="en-IN" sz="1100" b="0" i="1">
              <a:solidFill>
                <a:schemeClr val="dk1"/>
              </a:solidFill>
              <a:effectLst/>
              <a:latin typeface="+mn-lt"/>
              <a:ea typeface="+mn-ea"/>
              <a:cs typeface="+mn-cs"/>
            </a:rPr>
            <a:t>The name of the weekday (e.g., Monday) on which the subscription was created, derived from created_date.</a:t>
          </a:r>
        </a:p>
        <a:p>
          <a:pPr lvl="1"/>
          <a:endParaRPr lang="en-IN" sz="1200" b="0" baseline="0"/>
        </a:p>
        <a:p>
          <a:pPr lvl="1"/>
          <a:r>
            <a:rPr lang="en-IN" sz="1200" b="0" baseline="0"/>
            <a:t>3. Creata a new column for Year, and exact Year from "created_date" column.</a:t>
          </a:r>
          <a:endParaRPr lang="en-IN" sz="1200" b="0"/>
        </a:p>
        <a:p>
          <a:pPr lvl="1"/>
          <a:endParaRPr lang="en-IN" sz="1200"/>
        </a:p>
        <a:p>
          <a:r>
            <a:rPr lang="en-IN" sz="1200" b="1" u="sng"/>
            <a:t>Data Analysis Tasks:</a:t>
          </a:r>
          <a:endParaRPr lang="en-IN" sz="1200" u="sng"/>
        </a:p>
        <a:p>
          <a:pPr lvl="1"/>
          <a:r>
            <a:rPr lang="en-IN" sz="1200"/>
            <a:t>1.</a:t>
          </a:r>
          <a:r>
            <a:rPr lang="en-IN" sz="1200" baseline="0"/>
            <a:t> </a:t>
          </a:r>
          <a:r>
            <a:rPr lang="en-IN" sz="1200"/>
            <a:t>Calculate the total number of subscriptions and cancellations.</a:t>
          </a:r>
        </a:p>
        <a:p>
          <a:pPr lvl="1"/>
          <a:r>
            <a:rPr lang="en-IN" sz="1100" b="0" i="1">
              <a:solidFill>
                <a:schemeClr val="dk1"/>
              </a:solidFill>
              <a:effectLst/>
              <a:latin typeface="+mn-lt"/>
              <a:ea typeface="+mn-ea"/>
              <a:cs typeface="+mn-cs"/>
            </a:rPr>
            <a:t>Use COUNTA for subscriptions; count rows where canceled_date is not blank for cancellations.</a:t>
          </a:r>
        </a:p>
        <a:p>
          <a:pPr lvl="1"/>
          <a:endParaRPr lang="en-IN" sz="1200" i="1"/>
        </a:p>
        <a:p>
          <a:pPr lvl="1"/>
          <a:r>
            <a:rPr lang="en-IN" sz="1200"/>
            <a:t>2. Determine the percentage of paid vs. unpaid subscriptions.</a:t>
          </a:r>
        </a:p>
        <a:p>
          <a:pPr lvl="1"/>
          <a:r>
            <a:rPr lang="en-IN" sz="1100" b="0" i="1">
              <a:solidFill>
                <a:schemeClr val="dk1"/>
              </a:solidFill>
              <a:effectLst/>
              <a:latin typeface="+mn-lt"/>
              <a:ea typeface="+mn-ea"/>
              <a:cs typeface="+mn-cs"/>
            </a:rPr>
            <a:t>Based on the was_subscription_paid column. Express as a percentage of total subscriptions.</a:t>
          </a:r>
        </a:p>
        <a:p>
          <a:pPr lvl="1"/>
          <a:endParaRPr lang="en-IN" sz="1200" i="1"/>
        </a:p>
        <a:p>
          <a:pPr lvl="1"/>
          <a:r>
            <a:rPr lang="en-IN" sz="1200"/>
            <a:t>3. Analyze the average subscription duration before cancellation.</a:t>
          </a:r>
        </a:p>
        <a:p>
          <a:pPr lvl="1"/>
          <a:r>
            <a:rPr lang="en-IN" sz="1100" b="0" i="1">
              <a:solidFill>
                <a:schemeClr val="dk1"/>
              </a:solidFill>
              <a:effectLst/>
              <a:latin typeface="+mn-lt"/>
              <a:ea typeface="+mn-ea"/>
              <a:cs typeface="+mn-cs"/>
            </a:rPr>
            <a:t>Average of the Cancellation Duration column, for cancelled subscriptions only.</a:t>
          </a:r>
        </a:p>
        <a:p>
          <a:pPr lvl="1"/>
          <a:endParaRPr lang="en-IN" sz="1200" i="1"/>
        </a:p>
        <a:p>
          <a:pPr lvl="1"/>
          <a:r>
            <a:rPr lang="en-IN" sz="1200"/>
            <a:t>4. Identify the date with the highest number of new subscriptions.</a:t>
          </a:r>
        </a:p>
        <a:p>
          <a:pPr lvl="1"/>
          <a:r>
            <a:rPr lang="en-IN" sz="1100" b="0" i="1">
              <a:solidFill>
                <a:schemeClr val="dk1"/>
              </a:solidFill>
              <a:effectLst/>
              <a:latin typeface="+mn-lt"/>
              <a:ea typeface="+mn-ea"/>
              <a:cs typeface="+mn-cs"/>
            </a:rPr>
            <a:t>Use COUNTIF or a pivot table on created_date to find the peak sign-up date.</a:t>
          </a:r>
        </a:p>
        <a:p>
          <a:pPr lvl="1"/>
          <a:endParaRPr lang="en-IN" sz="1200" i="1"/>
        </a:p>
        <a:p>
          <a:pPr lvl="1"/>
          <a:r>
            <a:rPr lang="en-IN" sz="1200"/>
            <a:t>5. Find the proportion of subscriptions that were canceled within one day.</a:t>
          </a:r>
        </a:p>
        <a:p>
          <a:pPr lvl="1"/>
          <a:r>
            <a:rPr lang="en-IN" sz="1100" b="0" i="1">
              <a:solidFill>
                <a:schemeClr val="dk1"/>
              </a:solidFill>
              <a:effectLst/>
              <a:latin typeface="+mn-lt"/>
              <a:ea typeface="+mn-ea"/>
              <a:cs typeface="+mn-cs"/>
            </a:rPr>
            <a:t>Count records where Cancellation Duration = 0 or 1, divided by total cancellations.</a:t>
          </a:r>
          <a:endParaRPr lang="en-IN" sz="1200" i="1"/>
        </a:p>
        <a:p>
          <a:pPr lvl="1"/>
          <a:endParaRPr lang="en-IN" sz="1200"/>
        </a:p>
        <a:p>
          <a:r>
            <a:rPr lang="en-IN" sz="1200" b="1" u="sng"/>
            <a:t>Questions for Analysis:</a:t>
          </a:r>
        </a:p>
        <a:p>
          <a:pPr lvl="1"/>
          <a:r>
            <a:rPr lang="en-IN" sz="1200"/>
            <a:t>1. Which date had the highest number of subscriptions cancellations?</a:t>
          </a:r>
        </a:p>
        <a:p>
          <a:pPr lvl="1"/>
          <a:r>
            <a:rPr lang="en-IN" sz="1200"/>
            <a:t>2. How many subscriptions were canceled on the same day they were created?</a:t>
          </a:r>
        </a:p>
        <a:p>
          <a:pPr lvl="1"/>
          <a:r>
            <a:rPr lang="en-IN" sz="1200"/>
            <a:t>3. What is the cancellation rate within the first two days of subscription?</a:t>
          </a:r>
        </a:p>
        <a:p>
          <a:pPr lvl="1"/>
          <a:r>
            <a:rPr lang="en-IN" sz="1200"/>
            <a:t>4. How many subscriptions lasted more than one month </a:t>
          </a:r>
          <a:r>
            <a:rPr lang="en-IN" sz="1100" b="0" i="0">
              <a:solidFill>
                <a:schemeClr val="dk1"/>
              </a:solidFill>
              <a:effectLst/>
              <a:latin typeface="+mn-lt"/>
              <a:ea typeface="+mn-ea"/>
              <a:cs typeface="+mn-cs"/>
            </a:rPr>
            <a:t>(30+ days)</a:t>
          </a:r>
          <a:r>
            <a:rPr lang="en-IN" sz="1200"/>
            <a:t>?</a:t>
          </a:r>
        </a:p>
        <a:p>
          <a:pPr lvl="1"/>
          <a:r>
            <a:rPr lang="en-IN" sz="1200"/>
            <a:t>5. What is the most common duration (in days) before cancellation?</a:t>
          </a:r>
        </a:p>
        <a:p>
          <a:pPr lvl="1"/>
          <a:r>
            <a:rPr lang="en-IN" sz="1200"/>
            <a:t>6. How does the number of subscriptions vary by Weekday?</a:t>
          </a:r>
        </a:p>
        <a:p>
          <a:pPr lvl="1"/>
          <a:r>
            <a:rPr lang="en-IN" sz="1200"/>
            <a:t>7. Are there any indications that unpaid subscriptions have a higher cancellation rate?</a:t>
          </a:r>
        </a:p>
        <a:p>
          <a:pPr lvl="1"/>
          <a:endParaRPr lang="en-IN" sz="1200"/>
        </a:p>
        <a:p>
          <a:r>
            <a:rPr lang="en-IN" sz="1200" b="1" u="sng">
              <a:solidFill>
                <a:schemeClr val="dk1"/>
              </a:solidFill>
              <a:effectLst/>
              <a:latin typeface="+mn-lt"/>
              <a:ea typeface="+mn-ea"/>
              <a:cs typeface="+mn-cs"/>
            </a:rPr>
            <a:t>Visualization &amp; Reporting:</a:t>
          </a:r>
          <a:endParaRPr lang="en-IN" sz="1200">
            <a:effectLst/>
          </a:endParaRPr>
        </a:p>
        <a:p>
          <a:pPr lvl="1"/>
          <a:r>
            <a:rPr lang="en-IN" sz="1200">
              <a:solidFill>
                <a:schemeClr val="dk1"/>
              </a:solidFill>
              <a:effectLst/>
              <a:latin typeface="+mn-lt"/>
              <a:ea typeface="+mn-ea"/>
              <a:cs typeface="+mn-cs"/>
            </a:rPr>
            <a:t>1. Create a bar chart showing the number of new subscriptions per month.</a:t>
          </a:r>
          <a:endParaRPr lang="en-IN" sz="1200">
            <a:effectLst/>
          </a:endParaRPr>
        </a:p>
        <a:p>
          <a:pPr lvl="1"/>
          <a:r>
            <a:rPr lang="en-IN" sz="1200">
              <a:solidFill>
                <a:schemeClr val="dk1"/>
              </a:solidFill>
              <a:effectLst/>
              <a:latin typeface="+mn-lt"/>
              <a:ea typeface="+mn-ea"/>
              <a:cs typeface="+mn-cs"/>
            </a:rPr>
            <a:t>2. Generate a pie chart displaying the percentage of paid vs. unpaid subscriptions.</a:t>
          </a:r>
          <a:endParaRPr lang="en-IN" sz="1200">
            <a:effectLst/>
          </a:endParaRPr>
        </a:p>
        <a:p>
          <a:pPr lvl="1"/>
          <a:r>
            <a:rPr lang="en-IN" sz="1200">
              <a:solidFill>
                <a:schemeClr val="dk1"/>
              </a:solidFill>
              <a:effectLst/>
              <a:latin typeface="+mn-lt"/>
              <a:ea typeface="+mn-ea"/>
              <a:cs typeface="+mn-cs"/>
            </a:rPr>
            <a:t>3. Plot a line graph of subscription cancellations over time.</a:t>
          </a:r>
        </a:p>
        <a:p>
          <a:pPr marL="457200" marR="0" lvl="1" indent="0" defTabSz="914400" eaLnBrk="1" fontAlgn="auto" latinLnBrk="0" hangingPunct="1">
            <a:lnSpc>
              <a:spcPct val="100000"/>
            </a:lnSpc>
            <a:spcBef>
              <a:spcPts val="0"/>
            </a:spcBef>
            <a:spcAft>
              <a:spcPts val="0"/>
            </a:spcAft>
            <a:buClrTx/>
            <a:buSzTx/>
            <a:buFontTx/>
            <a:buNone/>
            <a:tabLst/>
            <a:defRPr/>
          </a:pPr>
          <a:r>
            <a:rPr lang="en-IN" sz="1200">
              <a:solidFill>
                <a:schemeClr val="dk1"/>
              </a:solidFill>
              <a:effectLst/>
              <a:latin typeface="+mn-lt"/>
              <a:ea typeface="+mn-ea"/>
              <a:cs typeface="+mn-cs"/>
            </a:rPr>
            <a:t>4.</a:t>
          </a:r>
          <a:r>
            <a:rPr lang="en-IN" sz="1200" baseline="0">
              <a:solidFill>
                <a:schemeClr val="dk1"/>
              </a:solidFill>
              <a:effectLst/>
              <a:latin typeface="+mn-lt"/>
              <a:ea typeface="+mn-ea"/>
              <a:cs typeface="+mn-cs"/>
            </a:rPr>
            <a:t> Create </a:t>
          </a:r>
          <a:r>
            <a:rPr lang="en-IN" sz="1200" b="0" i="0">
              <a:solidFill>
                <a:schemeClr val="dk1"/>
              </a:solidFill>
              <a:effectLst/>
              <a:latin typeface="+mn-lt"/>
              <a:ea typeface="+mn-ea"/>
              <a:cs typeface="+mn-cs"/>
            </a:rPr>
            <a:t>Combo chart (bar + line)</a:t>
          </a:r>
          <a:r>
            <a:rPr lang="en-IN" sz="1200" b="0" i="0" baseline="0">
              <a:solidFill>
                <a:schemeClr val="dk1"/>
              </a:solidFill>
              <a:effectLst/>
              <a:latin typeface="+mn-lt"/>
              <a:ea typeface="+mn-ea"/>
              <a:cs typeface="+mn-cs"/>
            </a:rPr>
            <a:t> </a:t>
          </a:r>
          <a:r>
            <a:rPr lang="en-IN" sz="1200" b="0" i="0">
              <a:solidFill>
                <a:schemeClr val="dk1"/>
              </a:solidFill>
              <a:effectLst/>
              <a:latin typeface="+mn-lt"/>
              <a:ea typeface="+mn-ea"/>
              <a:cs typeface="+mn-cs"/>
            </a:rPr>
            <a:t>Subscriptions by weekday — count of subscriptions (bar) and % per day (line). </a:t>
          </a:r>
        </a:p>
        <a:p>
          <a:pPr marL="457200" marR="0" lvl="1" indent="0" defTabSz="914400" eaLnBrk="1" fontAlgn="auto" latinLnBrk="0" hangingPunct="1">
            <a:lnSpc>
              <a:spcPct val="100000"/>
            </a:lnSpc>
            <a:spcBef>
              <a:spcPts val="0"/>
            </a:spcBef>
            <a:spcAft>
              <a:spcPts val="0"/>
            </a:spcAft>
            <a:buClrTx/>
            <a:buSzTx/>
            <a:buFontTx/>
            <a:buNone/>
            <a:tabLst/>
            <a:defRPr/>
          </a:pPr>
          <a:r>
            <a:rPr lang="en-IN" sz="1200" b="0" i="0">
              <a:solidFill>
                <a:schemeClr val="dk1"/>
              </a:solidFill>
              <a:effectLst/>
              <a:latin typeface="+mn-lt"/>
              <a:ea typeface="+mn-ea"/>
              <a:cs typeface="+mn-cs"/>
            </a:rPr>
            <a:t>5. KPI:</a:t>
          </a:r>
          <a:r>
            <a:rPr lang="en-IN" sz="1200" b="0" i="0" baseline="0">
              <a:solidFill>
                <a:schemeClr val="dk1"/>
              </a:solidFill>
              <a:effectLst/>
              <a:latin typeface="+mn-lt"/>
              <a:ea typeface="+mn-ea"/>
              <a:cs typeface="+mn-cs"/>
            </a:rPr>
            <a:t> Total Subscriptions, Subscription Cancelled, Paid Subscription %, Unpaid Subscription%</a:t>
          </a:r>
          <a:endParaRPr lang="en-IN" sz="1200" b="0" i="0">
            <a:solidFill>
              <a:schemeClr val="dk1"/>
            </a:solidFill>
            <a:effectLst/>
            <a:latin typeface="+mn-lt"/>
            <a:ea typeface="+mn-ea"/>
            <a:cs typeface="+mn-cs"/>
          </a:endParaRPr>
        </a:p>
        <a:p>
          <a:pPr lvl="1"/>
          <a:r>
            <a:rPr lang="en-IN" sz="1200" b="0" i="0">
              <a:solidFill>
                <a:schemeClr val="dk1"/>
              </a:solidFill>
              <a:effectLst/>
              <a:latin typeface="+mn-lt"/>
              <a:ea typeface="+mn-ea"/>
              <a:cs typeface="+mn-cs"/>
            </a:rPr>
            <a:t>6. Add Year wise Slicer. (And</a:t>
          </a:r>
          <a:r>
            <a:rPr lang="en-IN" sz="1200" b="0" i="0" baseline="0">
              <a:solidFill>
                <a:schemeClr val="dk1"/>
              </a:solidFill>
              <a:effectLst/>
              <a:latin typeface="+mn-lt"/>
              <a:ea typeface="+mn-ea"/>
              <a:cs typeface="+mn-cs"/>
            </a:rPr>
            <a:t> don't forget to do report connection)</a:t>
          </a:r>
          <a:endParaRPr lang="en-IN" sz="1200" b="0" i="0">
            <a:solidFill>
              <a:schemeClr val="dk1"/>
            </a:solidFill>
            <a:effectLst/>
            <a:latin typeface="+mn-lt"/>
            <a:ea typeface="+mn-ea"/>
            <a:cs typeface="+mn-cs"/>
          </a:endParaRPr>
        </a:p>
        <a:p>
          <a:pPr lvl="1"/>
          <a:endParaRPr lang="en-IN" sz="1100" b="0" i="0">
            <a:solidFill>
              <a:schemeClr val="dk1"/>
            </a:solidFill>
            <a:effectLst/>
            <a:latin typeface="+mn-lt"/>
            <a:ea typeface="+mn-ea"/>
            <a:cs typeface="+mn-cs"/>
          </a:endParaRPr>
        </a:p>
        <a:p>
          <a:pPr lvl="0"/>
          <a:r>
            <a:rPr lang="en-IN" sz="1200">
              <a:solidFill>
                <a:schemeClr val="dk1"/>
              </a:solidFill>
              <a:effectLst/>
              <a:latin typeface="+mn-lt"/>
              <a:ea typeface="+mn-ea"/>
              <a:cs typeface="+mn-cs"/>
            </a:rPr>
            <a:t>Prepare a Dashboard based on</a:t>
          </a:r>
          <a:r>
            <a:rPr lang="en-IN" sz="1200" baseline="0">
              <a:solidFill>
                <a:schemeClr val="dk1"/>
              </a:solidFill>
              <a:effectLst/>
              <a:latin typeface="+mn-lt"/>
              <a:ea typeface="+mn-ea"/>
              <a:cs typeface="+mn-cs"/>
            </a:rPr>
            <a:t> your findings.</a:t>
          </a:r>
        </a:p>
      </xdr:txBody>
    </xdr:sp>
    <xdr:clientData/>
  </xdr:twoCellAnchor>
  <xdr:twoCellAnchor editAs="oneCell">
    <xdr:from>
      <xdr:col>2</xdr:col>
      <xdr:colOff>251460</xdr:colOff>
      <xdr:row>50</xdr:row>
      <xdr:rowOff>68580</xdr:rowOff>
    </xdr:from>
    <xdr:to>
      <xdr:col>14</xdr:col>
      <xdr:colOff>328301</xdr:colOff>
      <xdr:row>77</xdr:row>
      <xdr:rowOff>69008</xdr:rowOff>
    </xdr:to>
    <xdr:pic>
      <xdr:nvPicPr>
        <xdr:cNvPr id="4" name="Picture 3">
          <a:extLst>
            <a:ext uri="{FF2B5EF4-FFF2-40B4-BE49-F238E27FC236}">
              <a16:creationId xmlns:a16="http://schemas.microsoft.com/office/drawing/2014/main" id="{4B72CB18-2969-4253-AD6B-8BD5A1659BA5}"/>
            </a:ext>
          </a:extLst>
        </xdr:cNvPr>
        <xdr:cNvPicPr>
          <a:picLocks noChangeAspect="1"/>
        </xdr:cNvPicPr>
      </xdr:nvPicPr>
      <xdr:blipFill>
        <a:blip xmlns:r="http://schemas.openxmlformats.org/officeDocument/2006/relationships" r:embed="rId1"/>
        <a:stretch>
          <a:fillRect/>
        </a:stretch>
      </xdr:blipFill>
      <xdr:spPr>
        <a:xfrm>
          <a:off x="1470660" y="9258300"/>
          <a:ext cx="7392041" cy="49381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xdr:colOff>
      <xdr:row>0</xdr:row>
      <xdr:rowOff>7620</xdr:rowOff>
    </xdr:from>
    <xdr:to>
      <xdr:col>13</xdr:col>
      <xdr:colOff>182880</xdr:colOff>
      <xdr:row>3</xdr:row>
      <xdr:rowOff>160020</xdr:rowOff>
    </xdr:to>
    <xdr:sp macro="" textlink="">
      <xdr:nvSpPr>
        <xdr:cNvPr id="4" name="Rectangle: Top Corners Rounded 3">
          <a:extLst>
            <a:ext uri="{FF2B5EF4-FFF2-40B4-BE49-F238E27FC236}">
              <a16:creationId xmlns:a16="http://schemas.microsoft.com/office/drawing/2014/main" id="{1B1A9DF0-DABB-08E0-0DF1-584C936EA268}"/>
            </a:ext>
          </a:extLst>
        </xdr:cNvPr>
        <xdr:cNvSpPr/>
      </xdr:nvSpPr>
      <xdr:spPr>
        <a:xfrm>
          <a:off x="15240" y="7620"/>
          <a:ext cx="8092440" cy="701040"/>
        </a:xfrm>
        <a:prstGeom prst="round2SameRect">
          <a:avLst>
            <a:gd name="adj1" fmla="val 29348"/>
            <a:gd name="adj2" fmla="val 0"/>
          </a:avLst>
        </a:prstGeom>
        <a:gradFill flip="none" rotWithShape="1">
          <a:gsLst>
            <a:gs pos="85000">
              <a:srgbClr val="141414"/>
            </a:gs>
            <a:gs pos="100000">
              <a:srgbClr val="E50914"/>
            </a:gs>
          </a:gsLst>
          <a:path path="rect">
            <a:fillToRect l="50000" t="50000" r="50000" b="50000"/>
          </a:path>
          <a:tileRect/>
        </a:gra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nchorCtr="1"/>
        <a:lstStyle/>
        <a:p>
          <a:pPr algn="ctr"/>
          <a:r>
            <a:rPr lang="en-IN" sz="2400">
              <a:effectLst>
                <a:glow rad="101600">
                  <a:schemeClr val="accent3">
                    <a:satMod val="175000"/>
                    <a:alpha val="40000"/>
                  </a:schemeClr>
                </a:glow>
              </a:effectLst>
            </a:rPr>
            <a:t>Data</a:t>
          </a:r>
          <a:r>
            <a:rPr lang="en-IN" sz="2400" baseline="0">
              <a:effectLst>
                <a:glow rad="101600">
                  <a:schemeClr val="accent3">
                    <a:satMod val="175000"/>
                    <a:alpha val="40000"/>
                  </a:schemeClr>
                </a:glow>
              </a:effectLst>
            </a:rPr>
            <a:t> Analysis Task</a:t>
          </a:r>
          <a:endParaRPr lang="en-IN" sz="2400">
            <a:effectLst>
              <a:glow rad="101600">
                <a:schemeClr val="accent3">
                  <a:satMod val="175000"/>
                  <a:alpha val="40000"/>
                </a:schemeClr>
              </a:glow>
            </a:effectLst>
          </a:endParaRPr>
        </a:p>
      </xdr:txBody>
    </xdr:sp>
    <xdr:clientData/>
  </xdr:twoCellAnchor>
  <xdr:twoCellAnchor>
    <xdr:from>
      <xdr:col>0</xdr:col>
      <xdr:colOff>0</xdr:colOff>
      <xdr:row>20</xdr:row>
      <xdr:rowOff>0</xdr:rowOff>
    </xdr:from>
    <xdr:to>
      <xdr:col>13</xdr:col>
      <xdr:colOff>167640</xdr:colOff>
      <xdr:row>23</xdr:row>
      <xdr:rowOff>152400</xdr:rowOff>
    </xdr:to>
    <xdr:sp macro="" textlink="">
      <xdr:nvSpPr>
        <xdr:cNvPr id="5" name="Rectangle: Top Corners Rounded 4">
          <a:extLst>
            <a:ext uri="{FF2B5EF4-FFF2-40B4-BE49-F238E27FC236}">
              <a16:creationId xmlns:a16="http://schemas.microsoft.com/office/drawing/2014/main" id="{A6E3D68D-540B-492E-B418-2F0B2C87DEE6}"/>
            </a:ext>
          </a:extLst>
        </xdr:cNvPr>
        <xdr:cNvSpPr/>
      </xdr:nvSpPr>
      <xdr:spPr>
        <a:xfrm>
          <a:off x="0" y="3703320"/>
          <a:ext cx="15064740" cy="701040"/>
        </a:xfrm>
        <a:prstGeom prst="round2SameRect">
          <a:avLst>
            <a:gd name="adj1" fmla="val 29348"/>
            <a:gd name="adj2" fmla="val 0"/>
          </a:avLst>
        </a:prstGeom>
        <a:gradFill flip="none" rotWithShape="1">
          <a:gsLst>
            <a:gs pos="85000">
              <a:srgbClr val="141414"/>
            </a:gs>
            <a:gs pos="100000">
              <a:srgbClr val="E50914"/>
            </a:gs>
          </a:gsLst>
          <a:path path="rect">
            <a:fillToRect l="50000" t="50000" r="50000" b="50000"/>
          </a:path>
          <a:tileRect/>
        </a:gra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nchorCtr="1"/>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a:solidFill>
                <a:schemeClr val="lt1"/>
              </a:solidFill>
              <a:effectLst>
                <a:glow rad="101600">
                  <a:schemeClr val="accent3">
                    <a:satMod val="175000"/>
                    <a:alpha val="40000"/>
                  </a:schemeClr>
                </a:glow>
              </a:effectLst>
              <a:latin typeface="+mn-lt"/>
              <a:ea typeface="+mn-ea"/>
              <a:cs typeface="+mn-cs"/>
            </a:rPr>
            <a:t>Questions</a:t>
          </a:r>
          <a:r>
            <a:rPr lang="en-IN" sz="2400" b="1" u="none">
              <a:solidFill>
                <a:schemeClr val="lt1"/>
              </a:solidFill>
              <a:effectLst/>
              <a:latin typeface="+mn-lt"/>
              <a:ea typeface="+mn-ea"/>
              <a:cs typeface="+mn-cs"/>
            </a:rPr>
            <a:t> </a:t>
          </a:r>
          <a:r>
            <a:rPr lang="en-IN" sz="2400">
              <a:solidFill>
                <a:schemeClr val="lt1"/>
              </a:solidFill>
              <a:effectLst>
                <a:glow rad="101600">
                  <a:schemeClr val="accent3">
                    <a:satMod val="175000"/>
                    <a:alpha val="40000"/>
                  </a:schemeClr>
                </a:glow>
              </a:effectLst>
              <a:latin typeface="+mn-lt"/>
              <a:ea typeface="+mn-ea"/>
              <a:cs typeface="+mn-cs"/>
            </a:rPr>
            <a:t>for</a:t>
          </a:r>
          <a:r>
            <a:rPr lang="en-IN" sz="2400" b="1" u="none">
              <a:solidFill>
                <a:schemeClr val="lt1"/>
              </a:solidFill>
              <a:effectLst/>
              <a:latin typeface="+mn-lt"/>
              <a:ea typeface="+mn-ea"/>
              <a:cs typeface="+mn-cs"/>
            </a:rPr>
            <a:t> </a:t>
          </a:r>
          <a:r>
            <a:rPr lang="en-IN" sz="2400">
              <a:solidFill>
                <a:schemeClr val="lt1"/>
              </a:solidFill>
              <a:effectLst>
                <a:glow rad="101600">
                  <a:schemeClr val="accent3">
                    <a:satMod val="175000"/>
                    <a:alpha val="40000"/>
                  </a:schemeClr>
                </a:glow>
              </a:effectLst>
              <a:latin typeface="+mn-lt"/>
              <a:ea typeface="+mn-ea"/>
              <a:cs typeface="+mn-cs"/>
            </a:rPr>
            <a:t>Analysis</a:t>
          </a:r>
        </a:p>
      </xdr:txBody>
    </xdr:sp>
    <xdr:clientData/>
  </xdr:twoCellAnchor>
  <xdr:twoCellAnchor>
    <xdr:from>
      <xdr:col>0</xdr:col>
      <xdr:colOff>0</xdr:colOff>
      <xdr:row>64</xdr:row>
      <xdr:rowOff>0</xdr:rowOff>
    </xdr:from>
    <xdr:to>
      <xdr:col>14</xdr:col>
      <xdr:colOff>0</xdr:colOff>
      <xdr:row>67</xdr:row>
      <xdr:rowOff>152400</xdr:rowOff>
    </xdr:to>
    <xdr:sp macro="" textlink="">
      <xdr:nvSpPr>
        <xdr:cNvPr id="2" name="Rectangle: Top Corners Rounded 1">
          <a:extLst>
            <a:ext uri="{FF2B5EF4-FFF2-40B4-BE49-F238E27FC236}">
              <a16:creationId xmlns:a16="http://schemas.microsoft.com/office/drawing/2014/main" id="{88366FFA-F825-43F6-A885-5BFF558CE412}"/>
            </a:ext>
          </a:extLst>
        </xdr:cNvPr>
        <xdr:cNvSpPr/>
      </xdr:nvSpPr>
      <xdr:spPr>
        <a:xfrm>
          <a:off x="0" y="11849100"/>
          <a:ext cx="16687800" cy="701040"/>
        </a:xfrm>
        <a:prstGeom prst="round2SameRect">
          <a:avLst>
            <a:gd name="adj1" fmla="val 29348"/>
            <a:gd name="adj2" fmla="val 0"/>
          </a:avLst>
        </a:prstGeom>
        <a:gradFill flip="none" rotWithShape="1">
          <a:gsLst>
            <a:gs pos="85000">
              <a:srgbClr val="141414"/>
            </a:gs>
            <a:gs pos="100000">
              <a:srgbClr val="E50914"/>
            </a:gs>
          </a:gsLst>
          <a:path path="rect">
            <a:fillToRect l="50000" t="50000" r="50000" b="50000"/>
          </a:path>
          <a:tileRect/>
        </a:gra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nchorCtr="1"/>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a:solidFill>
                <a:schemeClr val="lt1"/>
              </a:solidFill>
              <a:effectLst>
                <a:glow rad="101600">
                  <a:schemeClr val="accent3">
                    <a:satMod val="175000"/>
                    <a:alpha val="40000"/>
                  </a:schemeClr>
                </a:glow>
              </a:effectLst>
              <a:latin typeface="+mn-lt"/>
              <a:ea typeface="+mn-ea"/>
              <a:cs typeface="+mn-cs"/>
            </a:rPr>
            <a:t>Visualization And</a:t>
          </a:r>
          <a:r>
            <a:rPr lang="en-IN" sz="2400" b="1" u="none">
              <a:solidFill>
                <a:schemeClr val="lt1"/>
              </a:solidFill>
              <a:effectLst/>
              <a:latin typeface="+mn-lt"/>
              <a:ea typeface="+mn-ea"/>
              <a:cs typeface="+mn-cs"/>
            </a:rPr>
            <a:t> </a:t>
          </a:r>
          <a:r>
            <a:rPr lang="en-IN" sz="2400">
              <a:solidFill>
                <a:schemeClr val="lt1"/>
              </a:solidFill>
              <a:effectLst>
                <a:glow rad="101600">
                  <a:schemeClr val="accent3">
                    <a:satMod val="175000"/>
                    <a:alpha val="40000"/>
                  </a:schemeClr>
                </a:glow>
              </a:effectLst>
              <a:latin typeface="+mn-lt"/>
              <a:ea typeface="+mn-ea"/>
              <a:cs typeface="+mn-cs"/>
            </a:rPr>
            <a:t>Reporting</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xdr:colOff>
      <xdr:row>0</xdr:row>
      <xdr:rowOff>7620</xdr:rowOff>
    </xdr:from>
    <xdr:to>
      <xdr:col>17</xdr:col>
      <xdr:colOff>779145</xdr:colOff>
      <xdr:row>30</xdr:row>
      <xdr:rowOff>162190</xdr:rowOff>
    </xdr:to>
    <xdr:grpSp>
      <xdr:nvGrpSpPr>
        <xdr:cNvPr id="13" name="Group 12">
          <a:extLst>
            <a:ext uri="{FF2B5EF4-FFF2-40B4-BE49-F238E27FC236}">
              <a16:creationId xmlns:a16="http://schemas.microsoft.com/office/drawing/2014/main" id="{46D6E7F2-FB85-EBE2-723D-C1DD22CF16B4}"/>
            </a:ext>
          </a:extLst>
        </xdr:cNvPr>
        <xdr:cNvGrpSpPr/>
      </xdr:nvGrpSpPr>
      <xdr:grpSpPr>
        <a:xfrm>
          <a:off x="3810" y="7620"/>
          <a:ext cx="11298555" cy="5922910"/>
          <a:chOff x="3810" y="7620"/>
          <a:chExt cx="11298555" cy="5922910"/>
        </a:xfrm>
      </xdr:grpSpPr>
      <xdr:pic>
        <xdr:nvPicPr>
          <xdr:cNvPr id="7" name="Picture 6">
            <a:extLst>
              <a:ext uri="{FF2B5EF4-FFF2-40B4-BE49-F238E27FC236}">
                <a16:creationId xmlns:a16="http://schemas.microsoft.com/office/drawing/2014/main" id="{D738FCFE-1385-C84B-495D-FFF4552D0803}"/>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colorTemperature colorTemp="8800"/>
                    </a14:imgEffect>
                    <a14:imgEffect>
                      <a14:saturation sat="400000"/>
                    </a14:imgEffect>
                    <a14:imgEffect>
                      <a14:brightnessContrast bright="-20000" contrast="40000"/>
                    </a14:imgEffect>
                  </a14:imgLayer>
                </a14:imgProps>
              </a:ext>
            </a:extLst>
          </a:blip>
          <a:srcRect t="64865" b="4325"/>
          <a:stretch>
            <a:fillRect/>
          </a:stretch>
        </xdr:blipFill>
        <xdr:spPr>
          <a:xfrm>
            <a:off x="4442460" y="2885207"/>
            <a:ext cx="2430781" cy="900546"/>
          </a:xfrm>
          <a:prstGeom prst="rect">
            <a:avLst/>
          </a:prstGeom>
          <a:ln w="12700">
            <a:solidFill>
              <a:srgbClr val="FF0000"/>
            </a:solidFill>
          </a:ln>
        </xdr:spPr>
      </xdr:pic>
      <mc:AlternateContent xmlns:mc="http://schemas.openxmlformats.org/markup-compatibility/2006" xmlns:a14="http://schemas.microsoft.com/office/drawing/2010/main">
        <mc:Choice Requires="a14">
          <xdr:graphicFrame macro="">
            <xdr:nvGraphicFramePr>
              <xdr:cNvPr id="10" name="Create_Year">
                <a:extLst>
                  <a:ext uri="{FF2B5EF4-FFF2-40B4-BE49-F238E27FC236}">
                    <a16:creationId xmlns:a16="http://schemas.microsoft.com/office/drawing/2014/main" id="{748EE8EA-7ECB-4D1D-B18C-9D38FA7BEDE3}"/>
                  </a:ext>
                </a:extLst>
              </xdr:cNvPr>
              <xdr:cNvGraphicFramePr/>
            </xdr:nvGraphicFramePr>
            <xdr:xfrm>
              <a:off x="4435533" y="870066"/>
              <a:ext cx="2423160" cy="653934"/>
            </xdr:xfrm>
            <a:graphic>
              <a:graphicData uri="http://schemas.microsoft.com/office/drawing/2010/slicer">
                <sle:slicer xmlns:sle="http://schemas.microsoft.com/office/drawing/2010/slicer" name="Create_Year"/>
              </a:graphicData>
            </a:graphic>
          </xdr:graphicFrame>
        </mc:Choice>
        <mc:Fallback xmlns="">
          <xdr:sp macro="" textlink="">
            <xdr:nvSpPr>
              <xdr:cNvPr id="0" name=""/>
              <xdr:cNvSpPr>
                <a:spLocks noTextEdit="1"/>
              </xdr:cNvSpPr>
            </xdr:nvSpPr>
            <xdr:spPr>
              <a:xfrm>
                <a:off x="4435533" y="870066"/>
                <a:ext cx="2423160" cy="653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7" name="Rectangle: Rounded Corners 16">
            <a:extLst>
              <a:ext uri="{FF2B5EF4-FFF2-40B4-BE49-F238E27FC236}">
                <a16:creationId xmlns:a16="http://schemas.microsoft.com/office/drawing/2014/main" id="{98EB5550-C11D-465D-A8AA-702BDA5DBC8C}"/>
              </a:ext>
            </a:extLst>
          </xdr:cNvPr>
          <xdr:cNvSpPr/>
        </xdr:nvSpPr>
        <xdr:spPr>
          <a:xfrm>
            <a:off x="4441074" y="4578234"/>
            <a:ext cx="2410309" cy="648393"/>
          </a:xfrm>
          <a:prstGeom prst="roundRect">
            <a:avLst>
              <a:gd name="adj" fmla="val 50000"/>
            </a:avLst>
          </a:prstGeom>
          <a:gradFill flip="none" rotWithShape="1">
            <a:gsLst>
              <a:gs pos="0">
                <a:srgbClr val="E50914">
                  <a:lumMod val="100000"/>
                  <a:alpha val="60000"/>
                </a:srgbClr>
              </a:gs>
              <a:gs pos="33000">
                <a:srgbClr val="141414">
                  <a:alpha val="0"/>
                </a:srgbClr>
              </a:gs>
              <a:gs pos="69000">
                <a:srgbClr val="141414">
                  <a:alpha val="0"/>
                </a:srgbClr>
              </a:gs>
              <a:gs pos="100000">
                <a:srgbClr val="E50914">
                  <a:alpha val="60000"/>
                </a:srgbClr>
              </a:gs>
            </a:gsLst>
            <a:path path="circle">
              <a:fillToRect l="100000" t="100000"/>
            </a:path>
            <a:tileRect r="-100000" b="-100000"/>
          </a:gradFill>
          <a:ln w="9525" cap="flat" cmpd="sng" algn="ctr">
            <a:solidFill>
              <a:srgbClr val="E50914"/>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solidFill>
                <a:srgbClr val="E50914"/>
              </a:solidFill>
            </a:endParaRPr>
          </a:p>
        </xdr:txBody>
      </xdr:sp>
      <xdr:sp macro="" textlink="">
        <xdr:nvSpPr>
          <xdr:cNvPr id="18" name="Rectangle: Rounded Corners 17">
            <a:extLst>
              <a:ext uri="{FF2B5EF4-FFF2-40B4-BE49-F238E27FC236}">
                <a16:creationId xmlns:a16="http://schemas.microsoft.com/office/drawing/2014/main" id="{F96D15B4-EA1D-474C-BD52-41F9683FE417}"/>
              </a:ext>
            </a:extLst>
          </xdr:cNvPr>
          <xdr:cNvSpPr/>
        </xdr:nvSpPr>
        <xdr:spPr>
          <a:xfrm>
            <a:off x="4434149" y="3954781"/>
            <a:ext cx="2417617" cy="415635"/>
          </a:xfrm>
          <a:prstGeom prst="roundRect">
            <a:avLst>
              <a:gd name="adj" fmla="val 50000"/>
            </a:avLst>
          </a:prstGeom>
          <a:gradFill>
            <a:gsLst>
              <a:gs pos="0">
                <a:srgbClr val="E50914">
                  <a:lumMod val="100000"/>
                  <a:alpha val="75000"/>
                </a:srgbClr>
              </a:gs>
              <a:gs pos="33000">
                <a:srgbClr val="141414">
                  <a:alpha val="0"/>
                </a:srgbClr>
              </a:gs>
              <a:gs pos="69000">
                <a:srgbClr val="141414">
                  <a:alpha val="0"/>
                </a:srgbClr>
              </a:gs>
              <a:gs pos="100000">
                <a:srgbClr val="E50914">
                  <a:alpha val="75000"/>
                </a:srgbClr>
              </a:gs>
            </a:gsLst>
            <a:path path="circle">
              <a:fillToRect l="100000" t="100000"/>
            </a:path>
          </a:gradFill>
          <a:ln w="9525" cap="flat" cmpd="sng" algn="ctr">
            <a:solidFill>
              <a:srgbClr val="E50914"/>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sp macro="" textlink="">
        <xdr:nvSpPr>
          <xdr:cNvPr id="19" name="Flowchart: Alternate Process 18">
            <a:extLst>
              <a:ext uri="{FF2B5EF4-FFF2-40B4-BE49-F238E27FC236}">
                <a16:creationId xmlns:a16="http://schemas.microsoft.com/office/drawing/2014/main" id="{2A6BBBA0-AA88-F7BD-32E9-3840FDC52ECA}"/>
              </a:ext>
            </a:extLst>
          </xdr:cNvPr>
          <xdr:cNvSpPr/>
        </xdr:nvSpPr>
        <xdr:spPr>
          <a:xfrm>
            <a:off x="15240" y="7620"/>
            <a:ext cx="11287125" cy="723900"/>
          </a:xfrm>
          <a:prstGeom prst="flowChartAlternateProcess">
            <a:avLst/>
          </a:prstGeom>
          <a:gradFill flip="none" rotWithShape="1">
            <a:gsLst>
              <a:gs pos="0">
                <a:srgbClr val="E50914">
                  <a:lumMod val="100000"/>
                </a:srgbClr>
              </a:gs>
              <a:gs pos="33000">
                <a:srgbClr val="141414"/>
              </a:gs>
              <a:gs pos="69000">
                <a:srgbClr val="141414"/>
              </a:gs>
              <a:gs pos="100000">
                <a:srgbClr val="E50914"/>
              </a:gs>
            </a:gsLst>
            <a:lin ang="13500000" scaled="1"/>
            <a:tileRect/>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effectLst>
                  <a:glow rad="101600">
                    <a:schemeClr val="accent3">
                      <a:satMod val="175000"/>
                      <a:alpha val="40000"/>
                    </a:schemeClr>
                  </a:glow>
                </a:effectLst>
                <a:latin typeface="Cambria" panose="02040503050406030204" pitchFamily="18" charset="0"/>
                <a:ea typeface="Cambria" panose="02040503050406030204" pitchFamily="18" charset="0"/>
              </a:rPr>
              <a:t>Netfilx</a:t>
            </a:r>
            <a:r>
              <a:rPr lang="en-IN" sz="2800" b="1">
                <a:effectLst>
                  <a:glow rad="101600">
                    <a:schemeClr val="accent3">
                      <a:satMod val="175000"/>
                      <a:alpha val="40000"/>
                    </a:schemeClr>
                  </a:glow>
                </a:effectLst>
                <a:latin typeface="Cambria" panose="02040503050406030204" pitchFamily="18" charset="0"/>
                <a:ea typeface="Cambria" panose="02040503050406030204" pitchFamily="18" charset="0"/>
              </a:rPr>
              <a:t> Subscription Dashboard</a:t>
            </a:r>
          </a:p>
        </xdr:txBody>
      </xdr:sp>
      <xdr:graphicFrame macro="">
        <xdr:nvGraphicFramePr>
          <xdr:cNvPr id="20" name="Chart 19">
            <a:extLst>
              <a:ext uri="{FF2B5EF4-FFF2-40B4-BE49-F238E27FC236}">
                <a16:creationId xmlns:a16="http://schemas.microsoft.com/office/drawing/2014/main" id="{53744A6A-4359-41EE-B49A-81FADA63F15B}"/>
              </a:ext>
            </a:extLst>
          </xdr:cNvPr>
          <xdr:cNvGraphicFramePr>
            <a:graphicFrameLocks/>
          </xdr:cNvGraphicFramePr>
        </xdr:nvGraphicFramePr>
        <xdr:xfrm>
          <a:off x="6904499" y="814650"/>
          <a:ext cx="4392000" cy="251522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1" name="Chart 20">
            <a:extLst>
              <a:ext uri="{FF2B5EF4-FFF2-40B4-BE49-F238E27FC236}">
                <a16:creationId xmlns:a16="http://schemas.microsoft.com/office/drawing/2014/main" id="{C89C57E8-45EE-432D-9D64-8683BE3D521F}"/>
              </a:ext>
            </a:extLst>
          </xdr:cNvPr>
          <xdr:cNvGraphicFramePr>
            <a:graphicFrameLocks/>
          </xdr:cNvGraphicFramePr>
        </xdr:nvGraphicFramePr>
        <xdr:xfrm>
          <a:off x="3810" y="826425"/>
          <a:ext cx="4392000" cy="250698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2" name="Chart 21">
            <a:extLst>
              <a:ext uri="{FF2B5EF4-FFF2-40B4-BE49-F238E27FC236}">
                <a16:creationId xmlns:a16="http://schemas.microsoft.com/office/drawing/2014/main" id="{1F0C29FA-1CBB-48BB-B0AD-D2BDC7B943CA}"/>
              </a:ext>
            </a:extLst>
          </xdr:cNvPr>
          <xdr:cNvGraphicFramePr>
            <a:graphicFrameLocks/>
          </xdr:cNvGraphicFramePr>
        </xdr:nvGraphicFramePr>
        <xdr:xfrm>
          <a:off x="6904342" y="3368890"/>
          <a:ext cx="4392000" cy="256164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4" name="Chart 23">
            <a:extLst>
              <a:ext uri="{FF2B5EF4-FFF2-40B4-BE49-F238E27FC236}">
                <a16:creationId xmlns:a16="http://schemas.microsoft.com/office/drawing/2014/main" id="{82019451-F402-427D-852D-F8C1E4020499}"/>
              </a:ext>
            </a:extLst>
          </xdr:cNvPr>
          <xdr:cNvGraphicFramePr>
            <a:graphicFrameLocks/>
          </xdr:cNvGraphicFramePr>
        </xdr:nvGraphicFramePr>
        <xdr:xfrm>
          <a:off x="3965" y="3368733"/>
          <a:ext cx="4392000" cy="2557549"/>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7" name="Rectangle: Rounded Corners 26">
            <a:extLst>
              <a:ext uri="{FF2B5EF4-FFF2-40B4-BE49-F238E27FC236}">
                <a16:creationId xmlns:a16="http://schemas.microsoft.com/office/drawing/2014/main" id="{7DE0ECB0-3B58-4295-9001-238A38EEB558}"/>
              </a:ext>
            </a:extLst>
          </xdr:cNvPr>
          <xdr:cNvSpPr/>
        </xdr:nvSpPr>
        <xdr:spPr>
          <a:xfrm>
            <a:off x="4427220" y="1636222"/>
            <a:ext cx="2415540" cy="428799"/>
          </a:xfrm>
          <a:prstGeom prst="roundRect">
            <a:avLst>
              <a:gd name="adj" fmla="val 50000"/>
            </a:avLst>
          </a:prstGeom>
          <a:gradFill flip="none" rotWithShape="1">
            <a:gsLst>
              <a:gs pos="0">
                <a:srgbClr val="E50914">
                  <a:lumMod val="100000"/>
                  <a:alpha val="75000"/>
                </a:srgbClr>
              </a:gs>
              <a:gs pos="33000">
                <a:srgbClr val="141414">
                  <a:alpha val="0"/>
                </a:srgbClr>
              </a:gs>
              <a:gs pos="69000">
                <a:srgbClr val="141414">
                  <a:alpha val="0"/>
                </a:srgbClr>
              </a:gs>
              <a:gs pos="100000">
                <a:srgbClr val="E50914">
                  <a:alpha val="75000"/>
                </a:srgbClr>
              </a:gs>
            </a:gsLst>
            <a:path path="circle">
              <a:fillToRect l="100000" t="100000"/>
            </a:path>
            <a:tileRect r="-100000" b="-100000"/>
          </a:gradFill>
          <a:ln w="9525" cap="flat" cmpd="sng" algn="ctr">
            <a:solidFill>
              <a:srgbClr val="E50914"/>
            </a:solid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solidFill>
                <a:srgbClr val="E50914"/>
              </a:solidFill>
            </a:endParaRPr>
          </a:p>
        </xdr:txBody>
      </xdr:sp>
      <xdr:sp macro="" textlink="">
        <xdr:nvSpPr>
          <xdr:cNvPr id="31" name="Rectangle: Rounded Corners 30">
            <a:extLst>
              <a:ext uri="{FF2B5EF4-FFF2-40B4-BE49-F238E27FC236}">
                <a16:creationId xmlns:a16="http://schemas.microsoft.com/office/drawing/2014/main" id="{EE36BE93-6D67-49BF-B00B-03EFA6DFDEC6}"/>
              </a:ext>
            </a:extLst>
          </xdr:cNvPr>
          <xdr:cNvSpPr/>
        </xdr:nvSpPr>
        <xdr:spPr>
          <a:xfrm>
            <a:off x="4427220" y="2247900"/>
            <a:ext cx="2415540" cy="426721"/>
          </a:xfrm>
          <a:prstGeom prst="roundRect">
            <a:avLst>
              <a:gd name="adj" fmla="val 50000"/>
            </a:avLst>
          </a:prstGeom>
          <a:gradFill flip="none" rotWithShape="1">
            <a:gsLst>
              <a:gs pos="0">
                <a:srgbClr val="E50914">
                  <a:lumMod val="100000"/>
                  <a:alpha val="75000"/>
                </a:srgbClr>
              </a:gs>
              <a:gs pos="33000">
                <a:srgbClr val="141414">
                  <a:alpha val="0"/>
                </a:srgbClr>
              </a:gs>
              <a:gs pos="69000">
                <a:srgbClr val="141414">
                  <a:alpha val="0"/>
                </a:srgbClr>
              </a:gs>
              <a:gs pos="100000">
                <a:srgbClr val="E50914">
                  <a:alpha val="75000"/>
                </a:srgbClr>
              </a:gs>
            </a:gsLst>
            <a:path path="circle">
              <a:fillToRect l="100000" t="100000"/>
            </a:path>
            <a:tileRect r="-100000" b="-100000"/>
          </a:gradFill>
          <a:ln w="9525" cap="flat" cmpd="sng" algn="ctr">
            <a:solidFill>
              <a:srgbClr val="E50914"/>
            </a:solidFill>
            <a:prstDash val="solid"/>
            <a:round/>
            <a:headEnd type="none" w="med" len="med"/>
            <a:tailEnd type="none" w="med" len="med"/>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solidFill>
                <a:srgbClr val="E50914"/>
              </a:solidFill>
            </a:endParaRPr>
          </a:p>
        </xdr:txBody>
      </xdr:sp>
      <xdr:pic>
        <xdr:nvPicPr>
          <xdr:cNvPr id="4" name="Picture 3" descr="Netflix mobile application logo png">
            <a:extLst>
              <a:ext uri="{FF2B5EF4-FFF2-40B4-BE49-F238E27FC236}">
                <a16:creationId xmlns:a16="http://schemas.microsoft.com/office/drawing/2014/main" id="{F679A8DF-83FE-4C05-B4F6-5DAE9758A77D}"/>
              </a:ext>
            </a:extLst>
          </xdr:cNvPr>
          <xdr:cNvPicPr>
            <a:picLocks noChangeAspect="1" noChangeArrowheads="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sharpenSoften amount="50000"/>
                    </a14:imgEffect>
                    <a14:imgEffect>
                      <a14:colorTemperature colorTemp="11200"/>
                    </a14:imgEffect>
                  </a14:imgLayer>
                </a14:imgProps>
              </a:ext>
              <a:ext uri="{28A0092B-C50C-407E-A947-70E740481C1C}">
                <a14:useLocalDpi xmlns:a14="http://schemas.microsoft.com/office/drawing/2010/main" val="0"/>
              </a:ext>
            </a:extLst>
          </a:blip>
          <a:srcRect/>
          <a:stretch>
            <a:fillRect/>
          </a:stretch>
        </xdr:blipFill>
        <xdr:spPr bwMode="auto">
          <a:xfrm>
            <a:off x="205741" y="83820"/>
            <a:ext cx="541020" cy="54827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pic>
        <xdr:nvPicPr>
          <xdr:cNvPr id="8" name="Picture 7" descr="Update on Sharing - About Netflix">
            <a:extLst>
              <a:ext uri="{FF2B5EF4-FFF2-40B4-BE49-F238E27FC236}">
                <a16:creationId xmlns:a16="http://schemas.microsoft.com/office/drawing/2014/main" id="{E5B7B378-8319-7F02-3A04-A6E7295D4411}"/>
              </a:ext>
            </a:extLst>
          </xdr:cNvPr>
          <xdr:cNvPicPr>
            <a:picLocks noChangeAspect="1" noChangeArrowheads="1"/>
          </xdr:cNvPicPr>
        </xdr:nvPicPr>
        <xdr:blipFill>
          <a:blip xmlns:r="http://schemas.openxmlformats.org/officeDocument/2006/relationships" r:embed="rId9" cstate="print">
            <a:alphaModFix/>
            <a:extLst>
              <a:ext uri="{BEBA8EAE-BF5A-486C-A8C5-ECC9F3942E4B}">
                <a14:imgProps xmlns:a14="http://schemas.microsoft.com/office/drawing/2010/main">
                  <a14:imgLayer r:embed="rId10">
                    <a14:imgEffect>
                      <a14:backgroundRemoval t="10000" b="90000" l="10000" r="90000"/>
                    </a14:imgEffect>
                    <a14:imgEffect>
                      <a14:sharpenSoften amount="50000"/>
                    </a14:imgEffect>
                    <a14:imgEffect>
                      <a14:colorTemperature colorTemp="11200"/>
                    </a14:imgEffect>
                  </a14:imgLayer>
                </a14:imgProps>
              </a:ext>
              <a:ext uri="{28A0092B-C50C-407E-A947-70E740481C1C}">
                <a14:useLocalDpi xmlns:a14="http://schemas.microsoft.com/office/drawing/2010/main" val="0"/>
              </a:ext>
            </a:extLst>
          </a:blip>
          <a:srcRect/>
          <a:stretch>
            <a:fillRect/>
          </a:stretch>
        </xdr:blipFill>
        <xdr:spPr bwMode="auto">
          <a:xfrm>
            <a:off x="10431781" y="30480"/>
            <a:ext cx="846426" cy="69342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 name="Picture 11" descr="The most popular Netflix movie and show are not what you think | Shortlist">
            <a:extLst>
              <a:ext uri="{FF2B5EF4-FFF2-40B4-BE49-F238E27FC236}">
                <a16:creationId xmlns:a16="http://schemas.microsoft.com/office/drawing/2014/main" id="{70402E92-A59E-4A41-8A66-58B70FF3C0BE}"/>
              </a:ext>
            </a:extLst>
          </xdr:cNvPr>
          <xdr:cNvPicPr>
            <a:picLocks noChangeAspect="1" noChangeArrowheads="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sharpenSoften amount="50000"/>
                    </a14:imgEffect>
                    <a14:imgEffect>
                      <a14:colorTemperature colorTemp="11200"/>
                    </a14:imgEffect>
                  </a14:imgLayer>
                </a14:imgProps>
              </a:ext>
              <a:ext uri="{28A0092B-C50C-407E-A947-70E740481C1C}">
                <a14:useLocalDpi xmlns:a14="http://schemas.microsoft.com/office/drawing/2010/main" val="0"/>
              </a:ext>
            </a:extLst>
          </a:blip>
          <a:srcRect/>
          <a:stretch>
            <a:fillRect/>
          </a:stretch>
        </xdr:blipFill>
        <xdr:spPr bwMode="auto">
          <a:xfrm>
            <a:off x="4450080" y="5273041"/>
            <a:ext cx="2407920" cy="655319"/>
          </a:xfrm>
          <a:prstGeom prst="rect">
            <a:avLst/>
          </a:prstGeom>
          <a:noFill/>
          <a:ln>
            <a:solidFill>
              <a:srgbClr val="E50914"/>
            </a:solidFill>
          </a:ln>
          <a:extLst>
            <a:ext uri="{909E8E84-426E-40DD-AFC4-6F175D3DCCD1}">
              <a14:hiddenFill xmlns:a14="http://schemas.microsoft.com/office/drawing/2010/main">
                <a:solidFill>
                  <a:srgbClr val="FFFFFF"/>
                </a:solidFill>
              </a14:hiddenFill>
            </a:ext>
          </a:extLst>
        </xdr:spPr>
      </xdr:pic>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gesh Sharma" refreshedDate="46201.408458217593" createdVersion="8" refreshedVersion="8" minRefreshableVersion="3" recordCount="3069" xr:uid="{BD3914F7-E714-4DC2-B5AB-6FEB8D95380D}">
  <cacheSource type="worksheet">
    <worksheetSource name="Table1"/>
  </cacheSource>
  <cacheFields count="15">
    <cacheField name="customer_id" numFmtId="0">
      <sharedItems containsSemiMixedTypes="0" containsString="0" containsNumber="1" containsInteger="1" minValue="111394466" maxValue="221189604"/>
    </cacheField>
    <cacheField name="created_date" numFmtId="14">
      <sharedItems containsSemiMixedTypes="0" containsNonDate="0" containsDate="1" containsString="0" minDate="2022-09-01T00:00:00" maxDate="2023-09-09T00:00:00" count="37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sharedItems>
      <fieldGroup par="14"/>
    </cacheField>
    <cacheField name="canceled_date" numFmtId="0">
      <sharedItems containsNonDate="0" containsDate="1" containsString="0" containsBlank="1" minDate="2022-09-02T00:00:00" maxDate="2023-09-09T00:00:00" count="361">
        <m/>
        <d v="2022-09-02T00:00:00"/>
        <d v="2022-09-23T00:00:00"/>
        <d v="2023-06-29T00:00:00"/>
        <d v="2023-05-08T00:00:00"/>
        <d v="2022-11-26T00:00:00"/>
        <d v="2022-11-23T00:00:00"/>
        <d v="2022-10-25T00:00:00"/>
        <d v="2022-10-31T00:00:00"/>
        <d v="2022-09-26T00:00:00"/>
        <d v="2022-09-15T00:00:00"/>
        <d v="2022-12-09T00:00:00"/>
        <d v="2022-10-27T00:00:00"/>
        <d v="2022-10-09T00:00:00"/>
        <d v="2022-09-04T00:00:00"/>
        <d v="2023-05-10T00:00:00"/>
        <d v="2023-04-01T00:00:00"/>
        <d v="2023-04-10T00:00:00"/>
        <d v="2022-10-18T00:00:00"/>
        <d v="2022-09-29T00:00:00"/>
        <d v="2022-09-25T00:00:00"/>
        <d v="2022-09-05T00:00:00"/>
        <d v="2023-04-05T00:00:00"/>
        <d v="2023-04-16T00:00:00"/>
        <d v="2022-09-22T00:00:00"/>
        <d v="2023-01-15T00:00:00"/>
        <d v="2023-02-19T00:00:00"/>
        <d v="2022-11-02T00:00:00"/>
        <d v="2022-11-01T00:00:00"/>
        <d v="2022-10-11T00:00:00"/>
        <d v="2022-09-06T00:00:00"/>
        <d v="2022-10-06T00:00:00"/>
        <d v="2023-03-13T00:00:00"/>
        <d v="2023-03-12T00:00:00"/>
        <d v="2023-01-03T00:00:00"/>
        <d v="2023-02-08T00:00:00"/>
        <d v="2022-12-12T00:00:00"/>
        <d v="2022-10-19T00:00:00"/>
        <d v="2022-10-05T00:00:00"/>
        <d v="2022-10-12T00:00:00"/>
        <d v="2022-09-09T00:00:00"/>
        <d v="2022-11-20T00:00:00"/>
        <d v="2022-11-13T00:00:00"/>
        <d v="2022-10-13T00:00:00"/>
        <d v="2022-09-28T00:00:00"/>
        <d v="2023-05-25T00:00:00"/>
        <d v="2023-02-22T00:00:00"/>
        <d v="2022-09-14T00:00:00"/>
        <d v="2022-10-28T00:00:00"/>
        <d v="2022-10-15T00:00:00"/>
        <d v="2023-03-01T00:00:00"/>
        <d v="2022-12-02T00:00:00"/>
        <d v="2022-11-03T00:00:00"/>
        <d v="2022-10-03T00:00:00"/>
        <d v="2022-10-16T00:00:00"/>
        <d v="2023-08-16T00:00:00"/>
        <d v="2023-02-21T00:00:00"/>
        <d v="2022-10-08T00:00:00"/>
        <d v="2023-05-16T00:00:00"/>
        <d v="2023-02-15T00:00:00"/>
        <d v="2022-12-11T00:00:00"/>
        <d v="2022-12-24T00:00:00"/>
        <d v="2022-09-11T00:00:00"/>
        <d v="2023-08-18T00:00:00"/>
        <d v="2022-09-12T00:00:00"/>
        <d v="2022-09-13T00:00:00"/>
        <d v="2023-08-27T00:00:00"/>
        <d v="2022-10-23T00:00:00"/>
        <d v="2022-09-17T00:00:00"/>
        <d v="2023-06-14T00:00:00"/>
        <d v="2023-03-06T00:00:00"/>
        <d v="2022-12-07T00:00:00"/>
        <d v="2022-10-21T00:00:00"/>
        <d v="2023-06-01T00:00:00"/>
        <d v="2022-11-28T00:00:00"/>
        <d v="2022-11-08T00:00:00"/>
        <d v="2022-11-14T00:00:00"/>
        <d v="2022-10-22T00:00:00"/>
        <d v="2023-03-23T00:00:00"/>
        <d v="2023-01-05T00:00:00"/>
        <d v="2022-12-22T00:00:00"/>
        <d v="2022-10-04T00:00:00"/>
        <d v="2023-05-12T00:00:00"/>
        <d v="2023-01-14T00:00:00"/>
        <d v="2023-01-25T00:00:00"/>
        <d v="2022-11-21T00:00:00"/>
        <d v="2022-12-08T00:00:00"/>
        <d v="2022-11-12T00:00:00"/>
        <d v="2022-09-30T00:00:00"/>
        <d v="2022-10-17T00:00:00"/>
        <d v="2022-09-19T00:00:00"/>
        <d v="2023-02-10T00:00:00"/>
        <d v="2022-12-17T00:00:00"/>
        <d v="2022-12-14T00:00:00"/>
        <d v="2022-10-20T00:00:00"/>
        <d v="2023-03-27T00:00:00"/>
        <d v="2023-05-09T00:00:00"/>
        <d v="2022-12-21T00:00:00"/>
        <d v="2023-08-08T00:00:00"/>
        <d v="2023-06-28T00:00:00"/>
        <d v="2022-12-06T00:00:00"/>
        <d v="2023-05-02T00:00:00"/>
        <d v="2022-11-15T00:00:00"/>
        <d v="2022-10-29T00:00:00"/>
        <d v="2023-01-16T00:00:00"/>
        <d v="2023-01-21T00:00:00"/>
        <d v="2022-11-30T00:00:00"/>
        <d v="2022-10-14T00:00:00"/>
        <d v="2022-10-30T00:00:00"/>
        <d v="2022-12-01T00:00:00"/>
        <d v="2022-10-26T00:00:00"/>
        <d v="2022-11-18T00:00:00"/>
        <d v="2022-10-24T00:00:00"/>
        <d v="2022-12-04T00:00:00"/>
        <d v="2023-04-07T00:00:00"/>
        <d v="2023-01-23T00:00:00"/>
        <d v="2022-11-17T00:00:00"/>
        <d v="2023-01-18T00:00:00"/>
        <d v="2022-12-28T00:00:00"/>
        <d v="2022-09-27T00:00:00"/>
        <d v="2023-03-25T00:00:00"/>
        <d v="2022-11-22T00:00:00"/>
        <d v="2023-04-14T00:00:00"/>
        <d v="2022-12-29T00:00:00"/>
        <d v="2022-10-01T00:00:00"/>
        <d v="2023-03-28T00:00:00"/>
        <d v="2023-05-20T00:00:00"/>
        <d v="2023-06-03T00:00:00"/>
        <d v="2023-04-06T00:00:00"/>
        <d v="2023-01-06T00:00:00"/>
        <d v="2022-11-29T00:00:00"/>
        <d v="2022-11-06T00:00:00"/>
        <d v="2022-10-02T00:00:00"/>
        <d v="2023-01-01T00:00:00"/>
        <d v="2023-01-26T00:00:00"/>
        <d v="2023-07-02T00:00:00"/>
        <d v="2023-02-06T00:00:00"/>
        <d v="2023-03-17T00:00:00"/>
        <d v="2023-01-10T00:00:00"/>
        <d v="2023-01-20T00:00:00"/>
        <d v="2022-10-10T00:00:00"/>
        <d v="2023-04-21T00:00:00"/>
        <d v="2023-03-15T00:00:00"/>
        <d v="2023-01-30T00:00:00"/>
        <d v="2022-11-05T00:00:00"/>
        <d v="2023-04-03T00:00:00"/>
        <d v="2023-04-02T00:00:00"/>
        <d v="2023-06-23T00:00:00"/>
        <d v="2023-07-13T00:00:00"/>
        <d v="2022-11-07T00:00:00"/>
        <d v="2023-01-11T00:00:00"/>
        <d v="2022-11-09T00:00:00"/>
        <d v="2023-04-25T00:00:00"/>
        <d v="2023-02-12T00:00:00"/>
        <d v="2022-12-18T00:00:00"/>
        <d v="2022-11-16T00:00:00"/>
        <d v="2023-04-04T00:00:00"/>
        <d v="2023-06-10T00:00:00"/>
        <d v="2023-01-17T00:00:00"/>
        <d v="2023-05-30T00:00:00"/>
        <d v="2023-07-07T00:00:00"/>
        <d v="2023-03-02T00:00:00"/>
        <d v="2023-03-09T00:00:00"/>
        <d v="2022-12-27T00:00:00"/>
        <d v="2022-12-15T00:00:00"/>
        <d v="2023-02-16T00:00:00"/>
        <d v="2023-01-04T00:00:00"/>
        <d v="2022-12-30T00:00:00"/>
        <d v="2022-11-25T00:00:00"/>
        <d v="2022-12-25T00:00:00"/>
        <d v="2023-02-02T00:00:00"/>
        <d v="2023-05-19T00:00:00"/>
        <d v="2023-01-22T00:00:00"/>
        <d v="2023-06-21T00:00:00"/>
        <d v="2023-05-13T00:00:00"/>
        <d v="2023-01-27T00:00:00"/>
        <d v="2023-07-28T00:00:00"/>
        <d v="2023-06-20T00:00:00"/>
        <d v="2023-05-28T00:00:00"/>
        <d v="2023-02-26T00:00:00"/>
        <d v="2023-06-18T00:00:00"/>
        <d v="2022-12-20T00:00:00"/>
        <d v="2022-11-24T00:00:00"/>
        <d v="2023-01-02T00:00:00"/>
        <d v="2023-02-23T00:00:00"/>
        <d v="2023-04-19T00:00:00"/>
        <d v="2023-06-11T00:00:00"/>
        <d v="2023-06-30T00:00:00"/>
        <d v="2023-02-27T00:00:00"/>
        <d v="2023-03-31T00:00:00"/>
        <d v="2023-08-21T00:00:00"/>
        <d v="2023-03-07T00:00:00"/>
        <d v="2023-01-31T00:00:00"/>
        <d v="2023-01-08T00:00:00"/>
        <d v="2023-01-24T00:00:00"/>
        <d v="2023-08-10T00:00:00"/>
        <d v="2022-11-04T00:00:00"/>
        <d v="2023-03-03T00:00:00"/>
        <d v="2023-02-18T00:00:00"/>
        <d v="2022-12-03T00:00:00"/>
        <d v="2022-12-10T00:00:00"/>
        <d v="2023-02-07T00:00:00"/>
        <d v="2023-02-24T00:00:00"/>
        <d v="2022-11-19T00:00:00"/>
        <d v="2023-08-03T00:00:00"/>
        <d v="2023-07-23T00:00:00"/>
        <d v="2023-02-13T00:00:00"/>
        <d v="2022-12-13T00:00:00"/>
        <d v="2023-03-26T00:00:00"/>
        <d v="2023-07-05T00:00:00"/>
        <d v="2023-02-14T00:00:00"/>
        <d v="2023-08-30T00:00:00"/>
        <d v="2023-06-02T00:00:00"/>
        <d v="2022-12-16T00:00:00"/>
        <d v="2023-02-01T00:00:00"/>
        <d v="2022-11-10T00:00:00"/>
        <d v="2022-12-31T00:00:00"/>
        <d v="2022-12-05T00:00:00"/>
        <d v="2023-03-14T00:00:00"/>
        <d v="2023-02-09T00:00:00"/>
        <d v="2023-03-16T00:00:00"/>
        <d v="2023-02-05T00:00:00"/>
        <d v="2023-08-01T00:00:00"/>
        <d v="2023-03-22T00:00:00"/>
        <d v="2023-01-12T00:00:00"/>
        <d v="2023-08-23T00:00:00"/>
        <d v="2023-01-09T00:00:00"/>
        <d v="2023-03-11T00:00:00"/>
        <d v="2023-04-27T00:00:00"/>
        <d v="2023-01-19T00:00:00"/>
        <d v="2023-02-20T00:00:00"/>
        <d v="2023-03-29T00:00:00"/>
        <d v="2023-06-13T00:00:00"/>
        <d v="2023-03-21T00:00:00"/>
        <d v="2022-11-27T00:00:00"/>
        <d v="2023-05-07T00:00:00"/>
        <d v="2023-08-04T00:00:00"/>
        <d v="2023-05-15T00:00:00"/>
        <d v="2022-12-23T00:00:00"/>
        <d v="2023-04-08T00:00:00"/>
        <d v="2023-07-20T00:00:00"/>
        <d v="2023-07-06T00:00:00"/>
        <d v="2023-01-29T00:00:00"/>
        <d v="2023-05-04T00:00:00"/>
        <d v="2023-07-03T00:00:00"/>
        <d v="2023-01-13T00:00:00"/>
        <d v="2023-04-11T00:00:00"/>
        <d v="2023-02-03T00:00:00"/>
        <d v="2023-04-22T00:00:00"/>
        <d v="2023-07-16T00:00:00"/>
        <d v="2023-03-04T00:00:00"/>
        <d v="2023-05-01T00:00:00"/>
        <d v="2023-08-09T00:00:00"/>
        <d v="2023-03-20T00:00:00"/>
        <d v="2023-02-11T00:00:00"/>
        <d v="2023-07-04T00:00:00"/>
        <d v="2023-04-18T00:00:00"/>
        <d v="2023-04-13T00:00:00"/>
        <d v="2023-05-17T00:00:00"/>
        <d v="2023-03-18T00:00:00"/>
        <d v="2022-12-19T00:00:00"/>
        <d v="2023-01-07T00:00:00"/>
        <d v="2023-08-26T00:00:00"/>
        <d v="2023-04-29T00:00:00"/>
        <d v="2023-02-25T00:00:00"/>
        <d v="2023-07-19T00:00:00"/>
        <d v="2023-04-24T00:00:00"/>
        <d v="2023-05-27T00:00:00"/>
        <d v="2023-06-06T00:00:00"/>
        <d v="2023-01-28T00:00:00"/>
        <d v="2023-06-09T00:00:00"/>
        <d v="2023-02-28T00:00:00"/>
        <d v="2023-03-24T00:00:00"/>
        <d v="2023-06-15T00:00:00"/>
        <d v="2023-05-06T00:00:00"/>
        <d v="2023-04-23T00:00:00"/>
        <d v="2023-03-10T00:00:00"/>
        <d v="2023-03-19T00:00:00"/>
        <d v="2023-03-08T00:00:00"/>
        <d v="2023-07-11T00:00:00"/>
        <d v="2023-02-17T00:00:00"/>
        <d v="2023-03-05T00:00:00"/>
        <d v="2023-07-27T00:00:00"/>
        <d v="2023-08-13T00:00:00"/>
        <d v="2023-05-03T00:00:00"/>
        <d v="2023-05-31T00:00:00"/>
        <d v="2023-04-15T00:00:00"/>
        <d v="2023-04-26T00:00:00"/>
        <d v="2023-05-22T00:00:00"/>
        <d v="2023-04-20T00:00:00"/>
        <d v="2023-09-07T00:00:00"/>
        <d v="2023-06-16T00:00:00"/>
        <d v="2023-03-30T00:00:00"/>
        <d v="2023-06-27T00:00:00"/>
        <d v="2023-09-05T00:00:00"/>
        <d v="2023-08-19T00:00:00"/>
        <d v="2023-07-31T00:00:00"/>
        <d v="2023-02-04T00:00:00"/>
        <d v="2023-06-07T00:00:00"/>
        <d v="2023-04-17T00:00:00"/>
        <d v="2023-04-30T00:00:00"/>
        <d v="2023-08-11T00:00:00"/>
        <d v="2023-09-03T00:00:00"/>
        <d v="2023-06-12T00:00:00"/>
        <d v="2023-06-05T00:00:00"/>
        <d v="2023-08-02T00:00:00"/>
        <d v="2023-06-17T00:00:00"/>
        <d v="2023-08-07T00:00:00"/>
        <d v="2023-06-08T00:00:00"/>
        <d v="2023-05-23T00:00:00"/>
        <d v="2023-08-06T00:00:00"/>
        <d v="2023-06-22T00:00:00"/>
        <d v="2023-06-25T00:00:00"/>
        <d v="2023-08-22T00:00:00"/>
        <d v="2023-07-18T00:00:00"/>
        <d v="2023-07-12T00:00:00"/>
        <d v="2023-07-17T00:00:00"/>
        <d v="2023-05-18T00:00:00"/>
        <d v="2023-09-01T00:00:00"/>
        <d v="2023-04-09T00:00:00"/>
        <d v="2023-05-05T00:00:00"/>
        <d v="2023-06-26T00:00:00"/>
        <d v="2023-05-11T00:00:00"/>
        <d v="2023-05-29T00:00:00"/>
        <d v="2023-05-26T00:00:00"/>
        <d v="2023-07-09T00:00:00"/>
        <d v="2023-05-21T00:00:00"/>
        <d v="2023-04-12T00:00:00"/>
        <d v="2023-08-12T00:00:00"/>
        <d v="2023-07-24T00:00:00"/>
        <d v="2023-05-24T00:00:00"/>
        <d v="2023-08-28T00:00:00"/>
        <d v="2023-08-14T00:00:00"/>
        <d v="2023-08-25T00:00:00"/>
        <d v="2023-08-15T00:00:00"/>
        <d v="2023-08-31T00:00:00"/>
        <d v="2023-04-28T00:00:00"/>
        <d v="2023-07-10T00:00:00"/>
        <d v="2023-06-19T00:00:00"/>
        <d v="2023-08-20T00:00:00"/>
        <d v="2023-07-01T00:00:00"/>
        <d v="2023-07-08T00:00:00"/>
        <d v="2023-05-14T00:00:00"/>
        <d v="2023-06-04T00:00:00"/>
        <d v="2023-07-25T00:00:00"/>
        <d v="2023-06-24T00:00:00"/>
        <d v="2023-07-14T00:00:00"/>
        <d v="2023-08-24T00:00:00"/>
        <d v="2023-07-15T00:00:00"/>
        <d v="2023-09-06T00:00:00"/>
        <d v="2023-07-21T00:00:00"/>
        <d v="2023-08-17T00:00:00"/>
        <d v="2023-09-02T00:00:00"/>
        <d v="2023-07-26T00:00:00"/>
        <d v="2023-07-30T00:00:00"/>
        <d v="2023-08-29T00:00:00"/>
        <d v="2023-09-04T00:00:00"/>
        <d v="2023-07-22T00:00:00"/>
        <d v="2023-08-05T00:00:00"/>
        <d v="2023-09-08T00:00:00"/>
        <d v="2023-07-29T00:00:00"/>
      </sharedItems>
      <fieldGroup par="11"/>
    </cacheField>
    <cacheField name="was_subscription_paid" numFmtId="0">
      <sharedItems count="2">
        <s v="Yes"/>
        <s v="No"/>
      </sharedItems>
    </cacheField>
    <cacheField name="subscription_cost" numFmtId="0">
      <sharedItems containsSemiMixedTypes="0" containsString="0" containsNumber="1" containsInteger="1" minValue="39" maxValue="39"/>
    </cacheField>
    <cacheField name="subscription_interval" numFmtId="0">
      <sharedItems/>
    </cacheField>
    <cacheField name="Cancellation Duration" numFmtId="1">
      <sharedItems containsString="0" containsBlank="1" containsNumber="1" containsInteger="1" minValue="0" maxValue="348" count="237">
        <m/>
        <n v="1"/>
        <n v="22"/>
        <n v="301"/>
        <n v="249"/>
        <n v="86"/>
        <n v="83"/>
        <n v="54"/>
        <n v="60"/>
        <n v="25"/>
        <n v="14"/>
        <n v="0"/>
        <n v="98"/>
        <n v="55"/>
        <n v="37"/>
        <n v="24"/>
        <n v="210"/>
        <n v="219"/>
        <n v="81"/>
        <n v="45"/>
        <n v="26"/>
        <n v="213"/>
        <n v="224"/>
        <n v="18"/>
        <n v="133"/>
        <n v="168"/>
        <n v="59"/>
        <n v="58"/>
        <n v="31"/>
        <n v="189"/>
        <n v="188"/>
        <n v="120"/>
        <n v="156"/>
        <n v="82"/>
        <n v="44"/>
        <n v="30"/>
        <n v="34"/>
        <n v="4"/>
        <n v="75"/>
        <n v="68"/>
        <n v="20"/>
        <n v="260"/>
        <n v="7"/>
        <n v="50"/>
        <n v="28"/>
        <n v="173"/>
        <n v="84"/>
        <n v="341"/>
        <n v="164"/>
        <n v="93"/>
        <n v="32"/>
        <n v="247"/>
        <n v="157"/>
        <n v="91"/>
        <n v="104"/>
        <n v="52"/>
        <n v="348"/>
        <n v="40"/>
        <n v="274"/>
        <n v="172"/>
        <n v="259"/>
        <n v="74"/>
        <n v="27"/>
        <n v="8"/>
        <n v="206"/>
        <n v="111"/>
        <n v="97"/>
        <n v="237"/>
        <n v="119"/>
        <n v="129"/>
        <n v="64"/>
        <n v="12"/>
        <n v="29"/>
        <n v="144"/>
        <n v="153"/>
        <n v="89"/>
        <n v="231"/>
        <n v="92"/>
        <n v="49"/>
        <n v="10"/>
        <n v="41"/>
        <n v="322"/>
        <n v="280"/>
        <n v="76"/>
        <n v="222"/>
        <n v="115"/>
        <n v="21"/>
        <n v="38"/>
        <n v="69"/>
        <n v="193"/>
        <n v="137"/>
        <n v="113"/>
        <n v="178"/>
        <n v="85"/>
        <n v="61"/>
        <n v="53"/>
        <n v="197"/>
        <n v="90"/>
        <n v="179"/>
        <n v="232"/>
        <n v="246"/>
        <n v="116"/>
        <n v="43"/>
        <n v="272"/>
        <n v="126"/>
        <n v="165"/>
        <n v="99"/>
        <n v="109"/>
        <n v="36"/>
        <n v="56"/>
        <n v="57"/>
        <n v="199"/>
        <n v="162"/>
        <n v="118"/>
        <n v="71"/>
        <n v="180"/>
        <n v="261"/>
        <n v="63"/>
        <n v="17"/>
        <n v="158"/>
        <n v="196"/>
        <n v="124"/>
        <n v="48"/>
        <n v="174"/>
        <n v="241"/>
        <n v="11"/>
        <n v="96"/>
        <n v="229"/>
        <n v="149"/>
        <n v="265"/>
        <n v="72"/>
        <n v="122"/>
        <n v="79"/>
        <n v="107"/>
        <n v="15"/>
        <n v="212"/>
        <n v="125"/>
        <n v="95"/>
        <n v="88"/>
        <n v="245"/>
        <n v="205"/>
        <n v="148"/>
        <n v="281"/>
        <n v="243"/>
        <n v="70"/>
        <n v="127"/>
        <n v="238"/>
        <n v="121"/>
        <n v="77"/>
        <n v="227"/>
        <n v="194"/>
        <n v="154"/>
        <n v="297"/>
        <n v="145"/>
        <n v="128"/>
        <n v="47"/>
        <n v="33"/>
        <n v="282"/>
        <n v="112"/>
        <n v="80"/>
        <n v="271"/>
        <n v="139"/>
        <n v="240"/>
        <n v="294"/>
        <n v="142"/>
        <n v="117"/>
        <n v="94"/>
        <n v="35"/>
        <n v="87"/>
        <n v="62"/>
        <n v="132"/>
        <n v="140"/>
        <n v="151"/>
        <n v="9"/>
        <n v="266"/>
        <n v="3"/>
        <n v="200"/>
        <n v="66"/>
        <n v="16"/>
        <n v="39"/>
        <n v="167"/>
        <n v="100"/>
        <n v="23"/>
        <n v="182"/>
        <n v="19"/>
        <n v="216"/>
        <n v="136"/>
        <n v="51"/>
        <n v="208"/>
        <n v="134"/>
        <n v="42"/>
        <n v="141"/>
        <n v="46"/>
        <n v="202"/>
        <n v="233"/>
        <n v="166"/>
        <n v="152"/>
        <n v="65"/>
        <n v="250"/>
        <n v="130"/>
        <n v="73"/>
        <n v="198"/>
        <n v="184"/>
        <n v="204"/>
        <n v="150"/>
        <n v="159"/>
        <n v="161"/>
        <n v="185"/>
        <n v="2"/>
        <n v="106"/>
        <n v="67"/>
        <n v="181"/>
        <n v="110"/>
        <n v="175"/>
        <n v="13"/>
        <n v="211"/>
        <n v="108"/>
        <n v="135"/>
        <n v="192"/>
        <n v="146"/>
        <n v="101"/>
        <n v="226"/>
        <n v="143"/>
        <n v="221"/>
        <n v="201"/>
        <n v="5"/>
        <n v="191"/>
        <n v="171"/>
        <n v="114"/>
        <n v="177"/>
        <n v="6"/>
        <n v="170"/>
        <n v="147"/>
        <n v="155"/>
        <n v="78"/>
        <n v="131"/>
        <n v="103"/>
      </sharedItems>
    </cacheField>
    <cacheField name="Created_weekdays" numFmtId="0">
      <sharedItems count="7">
        <s v="Thursday"/>
        <s v="Friday"/>
        <s v="Saturday"/>
        <s v="Sunday"/>
        <s v="Monday"/>
        <s v="Tuesday"/>
        <s v="Wednesday"/>
      </sharedItems>
    </cacheField>
    <cacheField name="Create_Year" numFmtId="0">
      <sharedItems containsSemiMixedTypes="0" containsString="0" containsNumber="1" containsInteger="1" minValue="2022" maxValue="2023" count="2">
        <n v="2022"/>
        <n v="2023"/>
      </sharedItems>
    </cacheField>
    <cacheField name="Months (canceled_date)" numFmtId="0" databaseField="0">
      <fieldGroup base="2">
        <rangePr groupBy="months" startDate="2022-09-02T00:00:00" endDate="2023-09-09T00:00:00"/>
        <groupItems count="14">
          <s v="&lt;02-09-2022"/>
          <s v="Jan"/>
          <s v="Feb"/>
          <s v="Mar"/>
          <s v="Apr"/>
          <s v="May"/>
          <s v="Jun"/>
          <s v="Jul"/>
          <s v="Aug"/>
          <s v="Sep"/>
          <s v="Oct"/>
          <s v="Nov"/>
          <s v="Dec"/>
          <s v="&gt;09-09-2023"/>
        </groupItems>
      </fieldGroup>
    </cacheField>
    <cacheField name="Quarters (canceled_date)" numFmtId="0" databaseField="0">
      <fieldGroup base="2">
        <rangePr groupBy="quarters" startDate="2022-09-02T00:00:00" endDate="2023-09-09T00:00:00"/>
        <groupItems count="6">
          <s v="&lt;02-09-2022"/>
          <s v="Qtr1"/>
          <s v="Qtr2"/>
          <s v="Qtr3"/>
          <s v="Qtr4"/>
          <s v="&gt;09-09-2023"/>
        </groupItems>
      </fieldGroup>
    </cacheField>
    <cacheField name="Years (canceled_date)" numFmtId="0" databaseField="0">
      <fieldGroup base="2">
        <rangePr groupBy="years" startDate="2022-09-02T00:00:00" endDate="2023-09-09T00:00:00"/>
        <groupItems count="4">
          <s v="&lt;02-09-2022"/>
          <s v="2022"/>
          <s v="2023"/>
          <s v="&gt;09-09-2023"/>
        </groupItems>
      </fieldGroup>
    </cacheField>
    <cacheField name="Months (created_date)" numFmtId="0" databaseField="0">
      <fieldGroup base="1">
        <rangePr groupBy="months" startDate="2022-09-01T00:00:00" endDate="2023-09-09T00:00:00"/>
        <groupItems count="14">
          <s v="&lt;01-09-2022"/>
          <s v="Jan"/>
          <s v="Feb"/>
          <s v="Mar"/>
          <s v="Apr"/>
          <s v="May"/>
          <s v="Jun"/>
          <s v="Jul"/>
          <s v="Aug"/>
          <s v="Sep"/>
          <s v="Oct"/>
          <s v="Nov"/>
          <s v="Dec"/>
          <s v="&gt;09-09-2023"/>
        </groupItems>
      </fieldGroup>
    </cacheField>
    <cacheField name="Quarters (created_date)" numFmtId="0" databaseField="0">
      <fieldGroup base="1">
        <rangePr groupBy="quarters" startDate="2022-09-01T00:00:00" endDate="2023-09-09T00:00:00"/>
        <groupItems count="6">
          <s v="&lt;01-09-2022"/>
          <s v="Qtr1"/>
          <s v="Qtr2"/>
          <s v="Qtr3"/>
          <s v="Qtr4"/>
          <s v="&gt;09-09-2023"/>
        </groupItems>
      </fieldGroup>
    </cacheField>
    <cacheField name="Years (created_date)" numFmtId="0" databaseField="0">
      <fieldGroup base="1">
        <rangePr groupBy="years" startDate="2022-09-01T00:00:00" endDate="2023-09-09T00:00:00"/>
        <groupItems count="4">
          <s v="&lt;01-09-2022"/>
          <s v="2022"/>
          <s v="2023"/>
          <s v="&gt;09-09-2023"/>
        </groupItems>
      </fieldGroup>
    </cacheField>
  </cacheFields>
  <extLst>
    <ext xmlns:x14="http://schemas.microsoft.com/office/spreadsheetml/2009/9/main" uri="{725AE2AE-9491-48be-B2B4-4EB974FC3084}">
      <x14:pivotCacheDefinition pivotCacheId="4636159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69">
  <r>
    <n v="154536156"/>
    <x v="0"/>
    <x v="0"/>
    <x v="0"/>
    <n v="39"/>
    <s v="month"/>
    <x v="0"/>
    <x v="0"/>
    <x v="0"/>
  </r>
  <r>
    <n v="149713408"/>
    <x v="0"/>
    <x v="1"/>
    <x v="1"/>
    <n v="39"/>
    <s v="month"/>
    <x v="1"/>
    <x v="0"/>
    <x v="0"/>
  </r>
  <r>
    <n v="153756284"/>
    <x v="0"/>
    <x v="1"/>
    <x v="1"/>
    <n v="39"/>
    <s v="month"/>
    <x v="1"/>
    <x v="0"/>
    <x v="0"/>
  </r>
  <r>
    <n v="121253113"/>
    <x v="0"/>
    <x v="2"/>
    <x v="0"/>
    <n v="39"/>
    <s v="month"/>
    <x v="2"/>
    <x v="0"/>
    <x v="0"/>
  </r>
  <r>
    <n v="154467210"/>
    <x v="0"/>
    <x v="3"/>
    <x v="0"/>
    <n v="39"/>
    <s v="month"/>
    <x v="3"/>
    <x v="0"/>
    <x v="0"/>
  </r>
  <r>
    <n v="154510811"/>
    <x v="0"/>
    <x v="4"/>
    <x v="0"/>
    <n v="39"/>
    <s v="month"/>
    <x v="4"/>
    <x v="0"/>
    <x v="0"/>
  </r>
  <r>
    <n v="154494346"/>
    <x v="0"/>
    <x v="5"/>
    <x v="0"/>
    <n v="39"/>
    <s v="month"/>
    <x v="5"/>
    <x v="0"/>
    <x v="0"/>
  </r>
  <r>
    <n v="148671505"/>
    <x v="0"/>
    <x v="6"/>
    <x v="0"/>
    <n v="39"/>
    <s v="month"/>
    <x v="6"/>
    <x v="0"/>
    <x v="0"/>
  </r>
  <r>
    <n v="154568379"/>
    <x v="0"/>
    <x v="7"/>
    <x v="0"/>
    <n v="39"/>
    <s v="month"/>
    <x v="7"/>
    <x v="0"/>
    <x v="0"/>
  </r>
  <r>
    <n v="154428434"/>
    <x v="0"/>
    <x v="8"/>
    <x v="0"/>
    <n v="39"/>
    <s v="month"/>
    <x v="8"/>
    <x v="0"/>
    <x v="0"/>
  </r>
  <r>
    <n v="154601651"/>
    <x v="0"/>
    <x v="9"/>
    <x v="0"/>
    <n v="39"/>
    <s v="month"/>
    <x v="9"/>
    <x v="0"/>
    <x v="0"/>
  </r>
  <r>
    <n v="122824692"/>
    <x v="0"/>
    <x v="10"/>
    <x v="0"/>
    <n v="39"/>
    <s v="month"/>
    <x v="10"/>
    <x v="0"/>
    <x v="0"/>
  </r>
  <r>
    <n v="152925600"/>
    <x v="1"/>
    <x v="0"/>
    <x v="0"/>
    <n v="39"/>
    <s v="month"/>
    <x v="0"/>
    <x v="1"/>
    <x v="0"/>
  </r>
  <r>
    <n v="151154171"/>
    <x v="1"/>
    <x v="1"/>
    <x v="0"/>
    <n v="39"/>
    <s v="month"/>
    <x v="11"/>
    <x v="1"/>
    <x v="0"/>
  </r>
  <r>
    <n v="154640950"/>
    <x v="1"/>
    <x v="11"/>
    <x v="0"/>
    <n v="39"/>
    <s v="month"/>
    <x v="12"/>
    <x v="1"/>
    <x v="0"/>
  </r>
  <r>
    <n v="154617329"/>
    <x v="1"/>
    <x v="12"/>
    <x v="0"/>
    <n v="39"/>
    <s v="month"/>
    <x v="13"/>
    <x v="1"/>
    <x v="0"/>
  </r>
  <r>
    <n v="154089211"/>
    <x v="1"/>
    <x v="13"/>
    <x v="0"/>
    <n v="39"/>
    <s v="month"/>
    <x v="14"/>
    <x v="1"/>
    <x v="0"/>
  </r>
  <r>
    <n v="154653820"/>
    <x v="1"/>
    <x v="9"/>
    <x v="0"/>
    <n v="39"/>
    <s v="month"/>
    <x v="15"/>
    <x v="1"/>
    <x v="0"/>
  </r>
  <r>
    <n v="154131290"/>
    <x v="2"/>
    <x v="0"/>
    <x v="0"/>
    <n v="39"/>
    <s v="month"/>
    <x v="0"/>
    <x v="2"/>
    <x v="0"/>
  </r>
  <r>
    <n v="154434009"/>
    <x v="2"/>
    <x v="0"/>
    <x v="0"/>
    <n v="39"/>
    <s v="month"/>
    <x v="0"/>
    <x v="2"/>
    <x v="0"/>
  </r>
  <r>
    <n v="136108848"/>
    <x v="2"/>
    <x v="14"/>
    <x v="0"/>
    <n v="39"/>
    <s v="month"/>
    <x v="1"/>
    <x v="2"/>
    <x v="0"/>
  </r>
  <r>
    <n v="135185873"/>
    <x v="2"/>
    <x v="15"/>
    <x v="0"/>
    <n v="39"/>
    <s v="month"/>
    <x v="4"/>
    <x v="2"/>
    <x v="0"/>
  </r>
  <r>
    <n v="154592664"/>
    <x v="2"/>
    <x v="16"/>
    <x v="0"/>
    <n v="39"/>
    <s v="month"/>
    <x v="16"/>
    <x v="2"/>
    <x v="0"/>
  </r>
  <r>
    <n v="119436804"/>
    <x v="2"/>
    <x v="17"/>
    <x v="0"/>
    <n v="39"/>
    <s v="month"/>
    <x v="17"/>
    <x v="2"/>
    <x v="0"/>
  </r>
  <r>
    <n v="152929657"/>
    <x v="2"/>
    <x v="6"/>
    <x v="0"/>
    <n v="39"/>
    <s v="month"/>
    <x v="18"/>
    <x v="2"/>
    <x v="0"/>
  </r>
  <r>
    <n v="154708974"/>
    <x v="2"/>
    <x v="18"/>
    <x v="0"/>
    <n v="39"/>
    <s v="month"/>
    <x v="19"/>
    <x v="2"/>
    <x v="0"/>
  </r>
  <r>
    <n v="154567722"/>
    <x v="2"/>
    <x v="19"/>
    <x v="0"/>
    <n v="39"/>
    <s v="month"/>
    <x v="20"/>
    <x v="2"/>
    <x v="0"/>
  </r>
  <r>
    <n v="154719788"/>
    <x v="2"/>
    <x v="20"/>
    <x v="0"/>
    <n v="39"/>
    <s v="month"/>
    <x v="2"/>
    <x v="2"/>
    <x v="0"/>
  </r>
  <r>
    <n v="154809306"/>
    <x v="3"/>
    <x v="21"/>
    <x v="0"/>
    <n v="39"/>
    <s v="month"/>
    <x v="1"/>
    <x v="3"/>
    <x v="0"/>
  </r>
  <r>
    <n v="140391539"/>
    <x v="3"/>
    <x v="22"/>
    <x v="0"/>
    <n v="39"/>
    <s v="month"/>
    <x v="21"/>
    <x v="3"/>
    <x v="0"/>
  </r>
  <r>
    <n v="153194806"/>
    <x v="3"/>
    <x v="23"/>
    <x v="0"/>
    <n v="39"/>
    <s v="month"/>
    <x v="22"/>
    <x v="3"/>
    <x v="0"/>
  </r>
  <r>
    <n v="144402204"/>
    <x v="3"/>
    <x v="24"/>
    <x v="0"/>
    <n v="39"/>
    <s v="month"/>
    <x v="23"/>
    <x v="3"/>
    <x v="0"/>
  </r>
  <r>
    <n v="154747678"/>
    <x v="3"/>
    <x v="25"/>
    <x v="0"/>
    <n v="39"/>
    <s v="month"/>
    <x v="24"/>
    <x v="3"/>
    <x v="0"/>
  </r>
  <r>
    <n v="130939158"/>
    <x v="3"/>
    <x v="26"/>
    <x v="0"/>
    <n v="39"/>
    <s v="month"/>
    <x v="25"/>
    <x v="3"/>
    <x v="0"/>
  </r>
  <r>
    <n v="150912359"/>
    <x v="3"/>
    <x v="27"/>
    <x v="0"/>
    <n v="39"/>
    <s v="month"/>
    <x v="26"/>
    <x v="3"/>
    <x v="0"/>
  </r>
  <r>
    <n v="154132592"/>
    <x v="3"/>
    <x v="28"/>
    <x v="0"/>
    <n v="39"/>
    <s v="month"/>
    <x v="27"/>
    <x v="3"/>
    <x v="0"/>
  </r>
  <r>
    <n v="153368891"/>
    <x v="3"/>
    <x v="29"/>
    <x v="0"/>
    <n v="39"/>
    <s v="month"/>
    <x v="14"/>
    <x v="3"/>
    <x v="0"/>
  </r>
  <r>
    <n v="154225450"/>
    <x v="4"/>
    <x v="0"/>
    <x v="0"/>
    <n v="39"/>
    <s v="month"/>
    <x v="0"/>
    <x v="4"/>
    <x v="0"/>
  </r>
  <r>
    <n v="154904040"/>
    <x v="4"/>
    <x v="30"/>
    <x v="0"/>
    <n v="39"/>
    <s v="month"/>
    <x v="1"/>
    <x v="4"/>
    <x v="0"/>
  </r>
  <r>
    <n v="127604200"/>
    <x v="4"/>
    <x v="31"/>
    <x v="0"/>
    <n v="39"/>
    <s v="month"/>
    <x v="28"/>
    <x v="4"/>
    <x v="0"/>
  </r>
  <r>
    <n v="154913576"/>
    <x v="4"/>
    <x v="32"/>
    <x v="0"/>
    <n v="39"/>
    <s v="month"/>
    <x v="29"/>
    <x v="4"/>
    <x v="0"/>
  </r>
  <r>
    <n v="154910432"/>
    <x v="4"/>
    <x v="32"/>
    <x v="0"/>
    <n v="39"/>
    <s v="month"/>
    <x v="29"/>
    <x v="4"/>
    <x v="0"/>
  </r>
  <r>
    <n v="154911229"/>
    <x v="4"/>
    <x v="33"/>
    <x v="0"/>
    <n v="39"/>
    <s v="month"/>
    <x v="30"/>
    <x v="4"/>
    <x v="0"/>
  </r>
  <r>
    <n v="154518837"/>
    <x v="4"/>
    <x v="34"/>
    <x v="0"/>
    <n v="39"/>
    <s v="month"/>
    <x v="31"/>
    <x v="4"/>
    <x v="0"/>
  </r>
  <r>
    <n v="154910009"/>
    <x v="4"/>
    <x v="35"/>
    <x v="0"/>
    <n v="39"/>
    <s v="month"/>
    <x v="32"/>
    <x v="4"/>
    <x v="0"/>
  </r>
  <r>
    <n v="154911693"/>
    <x v="4"/>
    <x v="35"/>
    <x v="0"/>
    <n v="39"/>
    <s v="month"/>
    <x v="32"/>
    <x v="4"/>
    <x v="0"/>
  </r>
  <r>
    <n v="154894177"/>
    <x v="4"/>
    <x v="36"/>
    <x v="0"/>
    <n v="39"/>
    <s v="month"/>
    <x v="12"/>
    <x v="4"/>
    <x v="0"/>
  </r>
  <r>
    <n v="154494026"/>
    <x v="4"/>
    <x v="36"/>
    <x v="0"/>
    <n v="39"/>
    <s v="month"/>
    <x v="12"/>
    <x v="4"/>
    <x v="0"/>
  </r>
  <r>
    <n v="154245189"/>
    <x v="4"/>
    <x v="5"/>
    <x v="0"/>
    <n v="39"/>
    <s v="month"/>
    <x v="33"/>
    <x v="4"/>
    <x v="0"/>
  </r>
  <r>
    <n v="154604182"/>
    <x v="4"/>
    <x v="37"/>
    <x v="0"/>
    <n v="39"/>
    <s v="month"/>
    <x v="34"/>
    <x v="4"/>
    <x v="0"/>
  </r>
  <r>
    <n v="154711552"/>
    <x v="4"/>
    <x v="38"/>
    <x v="0"/>
    <n v="39"/>
    <s v="month"/>
    <x v="35"/>
    <x v="4"/>
    <x v="0"/>
  </r>
  <r>
    <n v="154827564"/>
    <x v="4"/>
    <x v="13"/>
    <x v="0"/>
    <n v="39"/>
    <s v="month"/>
    <x v="36"/>
    <x v="4"/>
    <x v="0"/>
  </r>
  <r>
    <n v="143581543"/>
    <x v="4"/>
    <x v="39"/>
    <x v="0"/>
    <n v="39"/>
    <s v="month"/>
    <x v="14"/>
    <x v="4"/>
    <x v="0"/>
  </r>
  <r>
    <n v="154867798"/>
    <x v="4"/>
    <x v="38"/>
    <x v="0"/>
    <n v="39"/>
    <s v="month"/>
    <x v="35"/>
    <x v="4"/>
    <x v="0"/>
  </r>
  <r>
    <n v="154863996"/>
    <x v="4"/>
    <x v="40"/>
    <x v="0"/>
    <n v="39"/>
    <s v="month"/>
    <x v="37"/>
    <x v="4"/>
    <x v="0"/>
  </r>
  <r>
    <n v="154923423"/>
    <x v="5"/>
    <x v="0"/>
    <x v="0"/>
    <n v="39"/>
    <s v="month"/>
    <x v="0"/>
    <x v="5"/>
    <x v="0"/>
  </r>
  <r>
    <n v="134664128"/>
    <x v="5"/>
    <x v="0"/>
    <x v="0"/>
    <n v="39"/>
    <s v="month"/>
    <x v="0"/>
    <x v="5"/>
    <x v="0"/>
  </r>
  <r>
    <n v="154828806"/>
    <x v="5"/>
    <x v="41"/>
    <x v="0"/>
    <n v="39"/>
    <s v="month"/>
    <x v="38"/>
    <x v="5"/>
    <x v="0"/>
  </r>
  <r>
    <n v="154934030"/>
    <x v="5"/>
    <x v="42"/>
    <x v="0"/>
    <n v="39"/>
    <s v="month"/>
    <x v="39"/>
    <x v="5"/>
    <x v="0"/>
  </r>
  <r>
    <n v="153671424"/>
    <x v="5"/>
    <x v="43"/>
    <x v="0"/>
    <n v="39"/>
    <s v="month"/>
    <x v="14"/>
    <x v="5"/>
    <x v="0"/>
  </r>
  <r>
    <n v="154693818"/>
    <x v="5"/>
    <x v="43"/>
    <x v="0"/>
    <n v="39"/>
    <s v="month"/>
    <x v="14"/>
    <x v="5"/>
    <x v="0"/>
  </r>
  <r>
    <n v="154110938"/>
    <x v="5"/>
    <x v="9"/>
    <x v="0"/>
    <n v="39"/>
    <s v="month"/>
    <x v="40"/>
    <x v="5"/>
    <x v="0"/>
  </r>
  <r>
    <n v="154809306"/>
    <x v="5"/>
    <x v="44"/>
    <x v="0"/>
    <n v="39"/>
    <s v="month"/>
    <x v="2"/>
    <x v="5"/>
    <x v="0"/>
  </r>
  <r>
    <n v="154537244"/>
    <x v="6"/>
    <x v="0"/>
    <x v="0"/>
    <n v="39"/>
    <s v="month"/>
    <x v="0"/>
    <x v="6"/>
    <x v="0"/>
  </r>
  <r>
    <n v="154163218"/>
    <x v="6"/>
    <x v="0"/>
    <x v="0"/>
    <n v="39"/>
    <s v="month"/>
    <x v="0"/>
    <x v="6"/>
    <x v="0"/>
  </r>
  <r>
    <n v="129467426"/>
    <x v="6"/>
    <x v="45"/>
    <x v="0"/>
    <n v="39"/>
    <s v="month"/>
    <x v="41"/>
    <x v="6"/>
    <x v="0"/>
  </r>
  <r>
    <n v="152498330"/>
    <x v="6"/>
    <x v="46"/>
    <x v="0"/>
    <n v="39"/>
    <s v="month"/>
    <x v="25"/>
    <x v="6"/>
    <x v="0"/>
  </r>
  <r>
    <n v="125335731"/>
    <x v="6"/>
    <x v="47"/>
    <x v="0"/>
    <n v="39"/>
    <s v="month"/>
    <x v="42"/>
    <x v="6"/>
    <x v="0"/>
  </r>
  <r>
    <n v="155113805"/>
    <x v="7"/>
    <x v="0"/>
    <x v="0"/>
    <n v="39"/>
    <s v="month"/>
    <x v="0"/>
    <x v="0"/>
    <x v="0"/>
  </r>
  <r>
    <n v="148864769"/>
    <x v="7"/>
    <x v="48"/>
    <x v="0"/>
    <n v="39"/>
    <s v="month"/>
    <x v="43"/>
    <x v="0"/>
    <x v="0"/>
  </r>
  <r>
    <n v="123850281"/>
    <x v="7"/>
    <x v="49"/>
    <x v="0"/>
    <n v="39"/>
    <s v="month"/>
    <x v="14"/>
    <x v="0"/>
    <x v="0"/>
  </r>
  <r>
    <n v="155167073"/>
    <x v="7"/>
    <x v="31"/>
    <x v="0"/>
    <n v="39"/>
    <s v="month"/>
    <x v="44"/>
    <x v="0"/>
    <x v="0"/>
  </r>
  <r>
    <n v="153684891"/>
    <x v="7"/>
    <x v="40"/>
    <x v="0"/>
    <n v="39"/>
    <s v="month"/>
    <x v="1"/>
    <x v="0"/>
    <x v="0"/>
  </r>
  <r>
    <n v="131277340"/>
    <x v="8"/>
    <x v="50"/>
    <x v="0"/>
    <n v="39"/>
    <s v="month"/>
    <x v="45"/>
    <x v="1"/>
    <x v="0"/>
  </r>
  <r>
    <n v="152027172"/>
    <x v="8"/>
    <x v="51"/>
    <x v="0"/>
    <n v="39"/>
    <s v="month"/>
    <x v="46"/>
    <x v="1"/>
    <x v="0"/>
  </r>
  <r>
    <n v="155212612"/>
    <x v="8"/>
    <x v="52"/>
    <x v="0"/>
    <n v="39"/>
    <s v="month"/>
    <x v="13"/>
    <x v="1"/>
    <x v="0"/>
  </r>
  <r>
    <n v="155188498"/>
    <x v="8"/>
    <x v="13"/>
    <x v="0"/>
    <n v="39"/>
    <s v="month"/>
    <x v="35"/>
    <x v="1"/>
    <x v="0"/>
  </r>
  <r>
    <n v="155145336"/>
    <x v="8"/>
    <x v="53"/>
    <x v="0"/>
    <n v="39"/>
    <s v="month"/>
    <x v="15"/>
    <x v="1"/>
    <x v="0"/>
  </r>
  <r>
    <n v="152506474"/>
    <x v="8"/>
    <x v="54"/>
    <x v="0"/>
    <n v="39"/>
    <s v="month"/>
    <x v="14"/>
    <x v="1"/>
    <x v="0"/>
  </r>
  <r>
    <n v="118029150"/>
    <x v="8"/>
    <x v="55"/>
    <x v="0"/>
    <n v="39"/>
    <s v="month"/>
    <x v="47"/>
    <x v="1"/>
    <x v="0"/>
  </r>
  <r>
    <n v="155245796"/>
    <x v="9"/>
    <x v="0"/>
    <x v="0"/>
    <n v="39"/>
    <s v="month"/>
    <x v="0"/>
    <x v="2"/>
    <x v="0"/>
  </r>
  <r>
    <n v="155326259"/>
    <x v="9"/>
    <x v="56"/>
    <x v="0"/>
    <n v="39"/>
    <s v="month"/>
    <x v="48"/>
    <x v="2"/>
    <x v="0"/>
  </r>
  <r>
    <n v="155311918"/>
    <x v="9"/>
    <x v="36"/>
    <x v="0"/>
    <n v="39"/>
    <s v="month"/>
    <x v="49"/>
    <x v="2"/>
    <x v="0"/>
  </r>
  <r>
    <n v="154391473"/>
    <x v="9"/>
    <x v="39"/>
    <x v="0"/>
    <n v="39"/>
    <s v="month"/>
    <x v="50"/>
    <x v="2"/>
    <x v="0"/>
  </r>
  <r>
    <n v="155283495"/>
    <x v="9"/>
    <x v="57"/>
    <x v="0"/>
    <n v="39"/>
    <s v="month"/>
    <x v="44"/>
    <x v="2"/>
    <x v="0"/>
  </r>
  <r>
    <n v="154597373"/>
    <x v="9"/>
    <x v="31"/>
    <x v="0"/>
    <n v="39"/>
    <s v="month"/>
    <x v="20"/>
    <x v="2"/>
    <x v="0"/>
  </r>
  <r>
    <n v="155370310"/>
    <x v="10"/>
    <x v="58"/>
    <x v="0"/>
    <n v="39"/>
    <s v="month"/>
    <x v="51"/>
    <x v="3"/>
    <x v="0"/>
  </r>
  <r>
    <n v="155289120"/>
    <x v="10"/>
    <x v="59"/>
    <x v="0"/>
    <n v="39"/>
    <s v="month"/>
    <x v="52"/>
    <x v="3"/>
    <x v="0"/>
  </r>
  <r>
    <n v="155351408"/>
    <x v="10"/>
    <x v="60"/>
    <x v="0"/>
    <n v="39"/>
    <s v="month"/>
    <x v="53"/>
    <x v="3"/>
    <x v="0"/>
  </r>
  <r>
    <n v="155336773"/>
    <x v="10"/>
    <x v="61"/>
    <x v="0"/>
    <n v="39"/>
    <s v="month"/>
    <x v="54"/>
    <x v="3"/>
    <x v="0"/>
  </r>
  <r>
    <n v="155017581"/>
    <x v="10"/>
    <x v="27"/>
    <x v="0"/>
    <n v="39"/>
    <s v="month"/>
    <x v="55"/>
    <x v="3"/>
    <x v="0"/>
  </r>
  <r>
    <n v="154401329"/>
    <x v="10"/>
    <x v="49"/>
    <x v="0"/>
    <n v="39"/>
    <s v="month"/>
    <x v="36"/>
    <x v="3"/>
    <x v="0"/>
  </r>
  <r>
    <n v="155334828"/>
    <x v="10"/>
    <x v="29"/>
    <x v="0"/>
    <n v="39"/>
    <s v="month"/>
    <x v="35"/>
    <x v="3"/>
    <x v="0"/>
  </r>
  <r>
    <n v="154815431"/>
    <x v="10"/>
    <x v="62"/>
    <x v="0"/>
    <n v="39"/>
    <s v="month"/>
    <x v="11"/>
    <x v="3"/>
    <x v="0"/>
  </r>
  <r>
    <n v="155343938"/>
    <x v="10"/>
    <x v="63"/>
    <x v="0"/>
    <n v="39"/>
    <s v="month"/>
    <x v="47"/>
    <x v="3"/>
    <x v="0"/>
  </r>
  <r>
    <n v="152436458"/>
    <x v="11"/>
    <x v="64"/>
    <x v="0"/>
    <n v="39"/>
    <s v="month"/>
    <x v="11"/>
    <x v="4"/>
    <x v="0"/>
  </r>
  <r>
    <n v="154689541"/>
    <x v="11"/>
    <x v="65"/>
    <x v="1"/>
    <n v="39"/>
    <s v="month"/>
    <x v="1"/>
    <x v="4"/>
    <x v="0"/>
  </r>
  <r>
    <n v="155425695"/>
    <x v="11"/>
    <x v="37"/>
    <x v="0"/>
    <n v="39"/>
    <s v="month"/>
    <x v="14"/>
    <x v="4"/>
    <x v="0"/>
  </r>
  <r>
    <n v="152698255"/>
    <x v="11"/>
    <x v="39"/>
    <x v="0"/>
    <n v="39"/>
    <s v="month"/>
    <x v="35"/>
    <x v="4"/>
    <x v="0"/>
  </r>
  <r>
    <n v="155406449"/>
    <x v="12"/>
    <x v="66"/>
    <x v="0"/>
    <n v="39"/>
    <s v="month"/>
    <x v="56"/>
    <x v="5"/>
    <x v="0"/>
  </r>
  <r>
    <n v="137338480"/>
    <x v="12"/>
    <x v="47"/>
    <x v="0"/>
    <n v="39"/>
    <s v="month"/>
    <x v="1"/>
    <x v="5"/>
    <x v="0"/>
  </r>
  <r>
    <n v="155508519"/>
    <x v="12"/>
    <x v="67"/>
    <x v="0"/>
    <n v="39"/>
    <s v="month"/>
    <x v="57"/>
    <x v="5"/>
    <x v="0"/>
  </r>
  <r>
    <n v="155463846"/>
    <x v="12"/>
    <x v="53"/>
    <x v="0"/>
    <n v="39"/>
    <s v="month"/>
    <x v="40"/>
    <x v="5"/>
    <x v="0"/>
  </r>
  <r>
    <n v="122335220"/>
    <x v="12"/>
    <x v="68"/>
    <x v="0"/>
    <n v="39"/>
    <s v="month"/>
    <x v="37"/>
    <x v="5"/>
    <x v="0"/>
  </r>
  <r>
    <n v="155460904"/>
    <x v="12"/>
    <x v="69"/>
    <x v="0"/>
    <n v="39"/>
    <s v="month"/>
    <x v="58"/>
    <x v="5"/>
    <x v="0"/>
  </r>
  <r>
    <n v="155534484"/>
    <x v="13"/>
    <x v="10"/>
    <x v="1"/>
    <n v="39"/>
    <s v="month"/>
    <x v="1"/>
    <x v="6"/>
    <x v="0"/>
  </r>
  <r>
    <n v="155465332"/>
    <x v="13"/>
    <x v="70"/>
    <x v="0"/>
    <n v="39"/>
    <s v="month"/>
    <x v="45"/>
    <x v="6"/>
    <x v="0"/>
  </r>
  <r>
    <n v="155562517"/>
    <x v="13"/>
    <x v="71"/>
    <x v="0"/>
    <n v="39"/>
    <s v="month"/>
    <x v="46"/>
    <x v="6"/>
    <x v="0"/>
  </r>
  <r>
    <n v="153577096"/>
    <x v="13"/>
    <x v="72"/>
    <x v="0"/>
    <n v="39"/>
    <s v="month"/>
    <x v="14"/>
    <x v="6"/>
    <x v="0"/>
  </r>
  <r>
    <n v="154937101"/>
    <x v="14"/>
    <x v="0"/>
    <x v="0"/>
    <n v="39"/>
    <s v="month"/>
    <x v="0"/>
    <x v="0"/>
    <x v="0"/>
  </r>
  <r>
    <n v="144968444"/>
    <x v="14"/>
    <x v="10"/>
    <x v="1"/>
    <n v="39"/>
    <s v="month"/>
    <x v="11"/>
    <x v="0"/>
    <x v="0"/>
  </r>
  <r>
    <n v="155270889"/>
    <x v="14"/>
    <x v="70"/>
    <x v="0"/>
    <n v="39"/>
    <s v="month"/>
    <x v="59"/>
    <x v="0"/>
    <x v="0"/>
  </r>
  <r>
    <n v="155601465"/>
    <x v="14"/>
    <x v="73"/>
    <x v="0"/>
    <n v="39"/>
    <s v="month"/>
    <x v="60"/>
    <x v="0"/>
    <x v="0"/>
  </r>
  <r>
    <n v="154045370"/>
    <x v="14"/>
    <x v="74"/>
    <x v="0"/>
    <n v="39"/>
    <s v="month"/>
    <x v="61"/>
    <x v="0"/>
    <x v="0"/>
  </r>
  <r>
    <n v="155612742"/>
    <x v="14"/>
    <x v="75"/>
    <x v="0"/>
    <n v="39"/>
    <s v="month"/>
    <x v="7"/>
    <x v="0"/>
    <x v="0"/>
  </r>
  <r>
    <n v="155621162"/>
    <x v="14"/>
    <x v="76"/>
    <x v="0"/>
    <n v="39"/>
    <s v="month"/>
    <x v="8"/>
    <x v="0"/>
    <x v="0"/>
  </r>
  <r>
    <n v="154904040"/>
    <x v="14"/>
    <x v="77"/>
    <x v="0"/>
    <n v="39"/>
    <s v="month"/>
    <x v="14"/>
    <x v="0"/>
    <x v="0"/>
  </r>
  <r>
    <n v="150810434"/>
    <x v="14"/>
    <x v="39"/>
    <x v="0"/>
    <n v="39"/>
    <s v="month"/>
    <x v="62"/>
    <x v="0"/>
    <x v="0"/>
  </r>
  <r>
    <n v="150825802"/>
    <x v="14"/>
    <x v="43"/>
    <x v="0"/>
    <n v="39"/>
    <s v="month"/>
    <x v="44"/>
    <x v="0"/>
    <x v="0"/>
  </r>
  <r>
    <n v="151907203"/>
    <x v="14"/>
    <x v="29"/>
    <x v="0"/>
    <n v="39"/>
    <s v="month"/>
    <x v="20"/>
    <x v="0"/>
    <x v="0"/>
  </r>
  <r>
    <n v="149595273"/>
    <x v="14"/>
    <x v="19"/>
    <x v="0"/>
    <n v="39"/>
    <s v="month"/>
    <x v="10"/>
    <x v="0"/>
    <x v="0"/>
  </r>
  <r>
    <n v="155596960"/>
    <x v="14"/>
    <x v="2"/>
    <x v="0"/>
    <n v="39"/>
    <s v="month"/>
    <x v="63"/>
    <x v="0"/>
    <x v="0"/>
  </r>
  <r>
    <n v="155192606"/>
    <x v="15"/>
    <x v="0"/>
    <x v="0"/>
    <n v="39"/>
    <s v="month"/>
    <x v="0"/>
    <x v="1"/>
    <x v="0"/>
  </r>
  <r>
    <n v="129111644"/>
    <x v="15"/>
    <x v="78"/>
    <x v="0"/>
    <n v="39"/>
    <s v="month"/>
    <x v="30"/>
    <x v="1"/>
    <x v="0"/>
  </r>
  <r>
    <n v="155426674"/>
    <x v="15"/>
    <x v="17"/>
    <x v="0"/>
    <n v="39"/>
    <s v="month"/>
    <x v="64"/>
    <x v="1"/>
    <x v="0"/>
  </r>
  <r>
    <n v="154389303"/>
    <x v="15"/>
    <x v="79"/>
    <x v="0"/>
    <n v="39"/>
    <s v="month"/>
    <x v="65"/>
    <x v="1"/>
    <x v="0"/>
  </r>
  <r>
    <n v="155671632"/>
    <x v="15"/>
    <x v="80"/>
    <x v="0"/>
    <n v="39"/>
    <s v="month"/>
    <x v="66"/>
    <x v="1"/>
    <x v="0"/>
  </r>
  <r>
    <n v="155663101"/>
    <x v="15"/>
    <x v="81"/>
    <x v="0"/>
    <n v="39"/>
    <s v="month"/>
    <x v="23"/>
    <x v="1"/>
    <x v="0"/>
  </r>
  <r>
    <n v="152084572"/>
    <x v="16"/>
    <x v="0"/>
    <x v="0"/>
    <n v="39"/>
    <s v="month"/>
    <x v="0"/>
    <x v="2"/>
    <x v="0"/>
  </r>
  <r>
    <n v="155783230"/>
    <x v="16"/>
    <x v="82"/>
    <x v="0"/>
    <n v="39"/>
    <s v="month"/>
    <x v="67"/>
    <x v="2"/>
    <x v="0"/>
  </r>
  <r>
    <n v="155714315"/>
    <x v="16"/>
    <x v="83"/>
    <x v="0"/>
    <n v="39"/>
    <s v="month"/>
    <x v="68"/>
    <x v="2"/>
    <x v="0"/>
  </r>
  <r>
    <n v="155774393"/>
    <x v="16"/>
    <x v="18"/>
    <x v="0"/>
    <n v="39"/>
    <s v="month"/>
    <x v="28"/>
    <x v="2"/>
    <x v="0"/>
  </r>
  <r>
    <n v="152901090"/>
    <x v="17"/>
    <x v="84"/>
    <x v="0"/>
    <n v="39"/>
    <s v="month"/>
    <x v="69"/>
    <x v="3"/>
    <x v="0"/>
  </r>
  <r>
    <n v="147029752"/>
    <x v="17"/>
    <x v="85"/>
    <x v="0"/>
    <n v="39"/>
    <s v="month"/>
    <x v="70"/>
    <x v="3"/>
    <x v="0"/>
  </r>
  <r>
    <n v="155809043"/>
    <x v="17"/>
    <x v="86"/>
    <x v="0"/>
    <n v="39"/>
    <s v="month"/>
    <x v="18"/>
    <x v="3"/>
    <x v="0"/>
  </r>
  <r>
    <n v="155180991"/>
    <x v="17"/>
    <x v="87"/>
    <x v="0"/>
    <n v="39"/>
    <s v="month"/>
    <x v="13"/>
    <x v="3"/>
    <x v="0"/>
  </r>
  <r>
    <n v="155713732"/>
    <x v="17"/>
    <x v="88"/>
    <x v="0"/>
    <n v="39"/>
    <s v="month"/>
    <x v="71"/>
    <x v="3"/>
    <x v="0"/>
  </r>
  <r>
    <n v="155204060"/>
    <x v="17"/>
    <x v="89"/>
    <x v="0"/>
    <n v="39"/>
    <s v="month"/>
    <x v="72"/>
    <x v="3"/>
    <x v="0"/>
  </r>
  <r>
    <n v="136817161"/>
    <x v="18"/>
    <x v="89"/>
    <x v="1"/>
    <n v="39"/>
    <s v="month"/>
    <x v="44"/>
    <x v="4"/>
    <x v="0"/>
  </r>
  <r>
    <n v="126212861"/>
    <x v="18"/>
    <x v="90"/>
    <x v="0"/>
    <n v="39"/>
    <s v="month"/>
    <x v="11"/>
    <x v="4"/>
    <x v="0"/>
  </r>
  <r>
    <n v="155265877"/>
    <x v="18"/>
    <x v="91"/>
    <x v="0"/>
    <n v="39"/>
    <s v="month"/>
    <x v="73"/>
    <x v="4"/>
    <x v="0"/>
  </r>
  <r>
    <n v="155916753"/>
    <x v="18"/>
    <x v="26"/>
    <x v="0"/>
    <n v="39"/>
    <s v="month"/>
    <x v="74"/>
    <x v="4"/>
    <x v="0"/>
  </r>
  <r>
    <n v="155927984"/>
    <x v="18"/>
    <x v="92"/>
    <x v="0"/>
    <n v="39"/>
    <s v="month"/>
    <x v="75"/>
    <x v="4"/>
    <x v="0"/>
  </r>
  <r>
    <n v="155876104"/>
    <x v="18"/>
    <x v="93"/>
    <x v="0"/>
    <n v="39"/>
    <s v="month"/>
    <x v="5"/>
    <x v="4"/>
    <x v="0"/>
  </r>
  <r>
    <n v="155733164"/>
    <x v="18"/>
    <x v="90"/>
    <x v="0"/>
    <n v="39"/>
    <s v="month"/>
    <x v="11"/>
    <x v="4"/>
    <x v="0"/>
  </r>
  <r>
    <n v="153832728"/>
    <x v="18"/>
    <x v="18"/>
    <x v="0"/>
    <n v="39"/>
    <s v="month"/>
    <x v="72"/>
    <x v="4"/>
    <x v="0"/>
  </r>
  <r>
    <n v="155876188"/>
    <x v="18"/>
    <x v="94"/>
    <x v="0"/>
    <n v="39"/>
    <s v="month"/>
    <x v="28"/>
    <x v="4"/>
    <x v="0"/>
  </r>
  <r>
    <n v="150687940"/>
    <x v="18"/>
    <x v="18"/>
    <x v="0"/>
    <n v="39"/>
    <s v="month"/>
    <x v="72"/>
    <x v="4"/>
    <x v="0"/>
  </r>
  <r>
    <n v="155967446"/>
    <x v="19"/>
    <x v="0"/>
    <x v="0"/>
    <n v="39"/>
    <s v="month"/>
    <x v="0"/>
    <x v="5"/>
    <x v="0"/>
  </r>
  <r>
    <n v="155687378"/>
    <x v="19"/>
    <x v="95"/>
    <x v="0"/>
    <n v="39"/>
    <s v="month"/>
    <x v="30"/>
    <x v="5"/>
    <x v="0"/>
  </r>
  <r>
    <n v="156020667"/>
    <x v="19"/>
    <x v="96"/>
    <x v="0"/>
    <n v="39"/>
    <s v="month"/>
    <x v="76"/>
    <x v="5"/>
    <x v="0"/>
  </r>
  <r>
    <n v="155869412"/>
    <x v="19"/>
    <x v="97"/>
    <x v="0"/>
    <n v="39"/>
    <s v="month"/>
    <x v="77"/>
    <x v="5"/>
    <x v="0"/>
  </r>
  <r>
    <n v="156042204"/>
    <x v="19"/>
    <x v="75"/>
    <x v="0"/>
    <n v="39"/>
    <s v="month"/>
    <x v="78"/>
    <x v="5"/>
    <x v="0"/>
  </r>
  <r>
    <n v="153568990"/>
    <x v="19"/>
    <x v="88"/>
    <x v="0"/>
    <n v="39"/>
    <s v="month"/>
    <x v="79"/>
    <x v="5"/>
    <x v="0"/>
  </r>
  <r>
    <n v="155327111"/>
    <x v="19"/>
    <x v="8"/>
    <x v="0"/>
    <n v="39"/>
    <s v="month"/>
    <x v="80"/>
    <x v="5"/>
    <x v="0"/>
  </r>
  <r>
    <n v="155270521"/>
    <x v="19"/>
    <x v="98"/>
    <x v="0"/>
    <n v="39"/>
    <s v="month"/>
    <x v="81"/>
    <x v="5"/>
    <x v="0"/>
  </r>
  <r>
    <n v="155991618"/>
    <x v="20"/>
    <x v="99"/>
    <x v="0"/>
    <n v="39"/>
    <s v="month"/>
    <x v="82"/>
    <x v="6"/>
    <x v="0"/>
  </r>
  <r>
    <n v="156045144"/>
    <x v="20"/>
    <x v="100"/>
    <x v="0"/>
    <n v="39"/>
    <s v="month"/>
    <x v="83"/>
    <x v="6"/>
    <x v="0"/>
  </r>
  <r>
    <n v="155439932"/>
    <x v="20"/>
    <x v="76"/>
    <x v="0"/>
    <n v="39"/>
    <s v="month"/>
    <x v="7"/>
    <x v="6"/>
    <x v="0"/>
  </r>
  <r>
    <n v="152674430"/>
    <x v="20"/>
    <x v="53"/>
    <x v="0"/>
    <n v="39"/>
    <s v="month"/>
    <x v="71"/>
    <x v="6"/>
    <x v="0"/>
  </r>
  <r>
    <n v="156135106"/>
    <x v="21"/>
    <x v="0"/>
    <x v="0"/>
    <n v="39"/>
    <s v="month"/>
    <x v="0"/>
    <x v="0"/>
    <x v="0"/>
  </r>
  <r>
    <n v="156185490"/>
    <x v="21"/>
    <x v="101"/>
    <x v="0"/>
    <n v="39"/>
    <s v="month"/>
    <x v="84"/>
    <x v="0"/>
    <x v="0"/>
  </r>
  <r>
    <n v="156180312"/>
    <x v="21"/>
    <x v="102"/>
    <x v="0"/>
    <n v="39"/>
    <s v="month"/>
    <x v="7"/>
    <x v="0"/>
    <x v="0"/>
  </r>
  <r>
    <n v="151263484"/>
    <x v="21"/>
    <x v="103"/>
    <x v="0"/>
    <n v="39"/>
    <s v="month"/>
    <x v="14"/>
    <x v="0"/>
    <x v="0"/>
  </r>
  <r>
    <n v="156008989"/>
    <x v="21"/>
    <x v="72"/>
    <x v="0"/>
    <n v="39"/>
    <s v="month"/>
    <x v="72"/>
    <x v="0"/>
    <x v="0"/>
  </r>
  <r>
    <n v="147687218"/>
    <x v="21"/>
    <x v="103"/>
    <x v="0"/>
    <n v="39"/>
    <s v="month"/>
    <x v="14"/>
    <x v="0"/>
    <x v="0"/>
  </r>
  <r>
    <n v="156235650"/>
    <x v="22"/>
    <x v="0"/>
    <x v="0"/>
    <n v="39"/>
    <s v="month"/>
    <x v="0"/>
    <x v="1"/>
    <x v="0"/>
  </r>
  <r>
    <n v="131128612"/>
    <x v="22"/>
    <x v="104"/>
    <x v="0"/>
    <n v="39"/>
    <s v="month"/>
    <x v="85"/>
    <x v="1"/>
    <x v="0"/>
  </r>
  <r>
    <n v="156198840"/>
    <x v="22"/>
    <x v="105"/>
    <x v="0"/>
    <n v="39"/>
    <s v="month"/>
    <x v="31"/>
    <x v="1"/>
    <x v="0"/>
  </r>
  <r>
    <n v="144166296"/>
    <x v="22"/>
    <x v="37"/>
    <x v="0"/>
    <n v="39"/>
    <s v="month"/>
    <x v="20"/>
    <x v="1"/>
    <x v="0"/>
  </r>
  <r>
    <n v="136108848"/>
    <x v="22"/>
    <x v="106"/>
    <x v="0"/>
    <n v="39"/>
    <s v="month"/>
    <x v="39"/>
    <x v="1"/>
    <x v="0"/>
  </r>
  <r>
    <n v="156225482"/>
    <x v="22"/>
    <x v="107"/>
    <x v="0"/>
    <n v="39"/>
    <s v="month"/>
    <x v="86"/>
    <x v="1"/>
    <x v="0"/>
  </r>
  <r>
    <n v="156209360"/>
    <x v="22"/>
    <x v="108"/>
    <x v="0"/>
    <n v="39"/>
    <s v="month"/>
    <x v="14"/>
    <x v="1"/>
    <x v="0"/>
  </r>
  <r>
    <n v="153492199"/>
    <x v="23"/>
    <x v="109"/>
    <x v="0"/>
    <n v="39"/>
    <s v="month"/>
    <x v="39"/>
    <x v="2"/>
    <x v="0"/>
  </r>
  <r>
    <n v="156127439"/>
    <x v="23"/>
    <x v="28"/>
    <x v="0"/>
    <n v="39"/>
    <s v="month"/>
    <x v="87"/>
    <x v="2"/>
    <x v="0"/>
  </r>
  <r>
    <n v="156197748"/>
    <x v="23"/>
    <x v="110"/>
    <x v="0"/>
    <n v="39"/>
    <s v="month"/>
    <x v="50"/>
    <x v="2"/>
    <x v="0"/>
  </r>
  <r>
    <n v="156292980"/>
    <x v="24"/>
    <x v="0"/>
    <x v="0"/>
    <n v="39"/>
    <s v="month"/>
    <x v="0"/>
    <x v="3"/>
    <x v="0"/>
  </r>
  <r>
    <n v="129284681"/>
    <x v="24"/>
    <x v="28"/>
    <x v="0"/>
    <n v="39"/>
    <s v="month"/>
    <x v="14"/>
    <x v="3"/>
    <x v="0"/>
  </r>
  <r>
    <n v="156249750"/>
    <x v="24"/>
    <x v="27"/>
    <x v="0"/>
    <n v="39"/>
    <s v="month"/>
    <x v="87"/>
    <x v="3"/>
    <x v="0"/>
  </r>
  <r>
    <n v="155143974"/>
    <x v="24"/>
    <x v="111"/>
    <x v="0"/>
    <n v="39"/>
    <s v="month"/>
    <x v="7"/>
    <x v="3"/>
    <x v="0"/>
  </r>
  <r>
    <n v="151354965"/>
    <x v="24"/>
    <x v="103"/>
    <x v="0"/>
    <n v="39"/>
    <s v="month"/>
    <x v="36"/>
    <x v="3"/>
    <x v="0"/>
  </r>
  <r>
    <n v="156178486"/>
    <x v="24"/>
    <x v="112"/>
    <x v="0"/>
    <n v="39"/>
    <s v="month"/>
    <x v="72"/>
    <x v="3"/>
    <x v="0"/>
  </r>
  <r>
    <n v="132314522"/>
    <x v="25"/>
    <x v="113"/>
    <x v="0"/>
    <n v="39"/>
    <s v="month"/>
    <x v="88"/>
    <x v="4"/>
    <x v="0"/>
  </r>
  <r>
    <n v="152505897"/>
    <x v="25"/>
    <x v="114"/>
    <x v="0"/>
    <n v="39"/>
    <s v="month"/>
    <x v="89"/>
    <x v="4"/>
    <x v="0"/>
  </r>
  <r>
    <n v="151086770"/>
    <x v="25"/>
    <x v="115"/>
    <x v="0"/>
    <n v="39"/>
    <s v="month"/>
    <x v="68"/>
    <x v="4"/>
    <x v="0"/>
  </r>
  <r>
    <n v="148713821"/>
    <x v="25"/>
    <x v="91"/>
    <x v="0"/>
    <n v="39"/>
    <s v="month"/>
    <x v="90"/>
    <x v="4"/>
    <x v="0"/>
  </r>
  <r>
    <n v="146422602"/>
    <x v="25"/>
    <x v="52"/>
    <x v="0"/>
    <n v="39"/>
    <s v="month"/>
    <x v="87"/>
    <x v="4"/>
    <x v="0"/>
  </r>
  <r>
    <n v="156460574"/>
    <x v="25"/>
    <x v="116"/>
    <x v="0"/>
    <n v="39"/>
    <s v="month"/>
    <x v="55"/>
    <x v="4"/>
    <x v="0"/>
  </r>
  <r>
    <n v="156364063"/>
    <x v="25"/>
    <x v="76"/>
    <x v="0"/>
    <n v="39"/>
    <s v="month"/>
    <x v="78"/>
    <x v="4"/>
    <x v="0"/>
  </r>
  <r>
    <n v="149139298"/>
    <x v="25"/>
    <x v="110"/>
    <x v="0"/>
    <n v="39"/>
    <s v="month"/>
    <x v="35"/>
    <x v="4"/>
    <x v="0"/>
  </r>
  <r>
    <n v="156371514"/>
    <x v="25"/>
    <x v="112"/>
    <x v="0"/>
    <n v="39"/>
    <s v="month"/>
    <x v="44"/>
    <x v="4"/>
    <x v="0"/>
  </r>
  <r>
    <n v="156423167"/>
    <x v="26"/>
    <x v="117"/>
    <x v="0"/>
    <n v="39"/>
    <s v="month"/>
    <x v="91"/>
    <x v="5"/>
    <x v="0"/>
  </r>
  <r>
    <n v="155199164"/>
    <x v="26"/>
    <x v="34"/>
    <x v="0"/>
    <n v="39"/>
    <s v="month"/>
    <x v="12"/>
    <x v="5"/>
    <x v="0"/>
  </r>
  <r>
    <n v="156373191"/>
    <x v="26"/>
    <x v="118"/>
    <x v="0"/>
    <n v="39"/>
    <s v="month"/>
    <x v="77"/>
    <x v="5"/>
    <x v="0"/>
  </r>
  <r>
    <n v="156517374"/>
    <x v="26"/>
    <x v="119"/>
    <x v="0"/>
    <n v="39"/>
    <s v="month"/>
    <x v="11"/>
    <x v="5"/>
    <x v="0"/>
  </r>
  <r>
    <n v="156032089"/>
    <x v="27"/>
    <x v="0"/>
    <x v="0"/>
    <n v="39"/>
    <s v="month"/>
    <x v="0"/>
    <x v="6"/>
    <x v="0"/>
  </r>
  <r>
    <n v="154563706"/>
    <x v="27"/>
    <x v="120"/>
    <x v="0"/>
    <n v="39"/>
    <s v="month"/>
    <x v="92"/>
    <x v="6"/>
    <x v="0"/>
  </r>
  <r>
    <n v="124481723"/>
    <x v="27"/>
    <x v="121"/>
    <x v="0"/>
    <n v="39"/>
    <s v="month"/>
    <x v="13"/>
    <x v="6"/>
    <x v="0"/>
  </r>
  <r>
    <n v="146861757"/>
    <x v="27"/>
    <x v="80"/>
    <x v="0"/>
    <n v="39"/>
    <s v="month"/>
    <x v="93"/>
    <x v="6"/>
    <x v="0"/>
  </r>
  <r>
    <n v="152476124"/>
    <x v="27"/>
    <x v="74"/>
    <x v="0"/>
    <n v="39"/>
    <s v="month"/>
    <x v="94"/>
    <x v="6"/>
    <x v="0"/>
  </r>
  <r>
    <n v="156192628"/>
    <x v="27"/>
    <x v="41"/>
    <x v="0"/>
    <n v="39"/>
    <s v="month"/>
    <x v="95"/>
    <x v="6"/>
    <x v="0"/>
  </r>
  <r>
    <n v="152109538"/>
    <x v="27"/>
    <x v="37"/>
    <x v="0"/>
    <n v="39"/>
    <s v="month"/>
    <x v="86"/>
    <x v="6"/>
    <x v="0"/>
  </r>
  <r>
    <n v="156659071"/>
    <x v="27"/>
    <x v="19"/>
    <x v="0"/>
    <n v="39"/>
    <s v="month"/>
    <x v="1"/>
    <x v="6"/>
    <x v="0"/>
  </r>
  <r>
    <n v="156717075"/>
    <x v="28"/>
    <x v="122"/>
    <x v="0"/>
    <n v="39"/>
    <s v="month"/>
    <x v="96"/>
    <x v="0"/>
    <x v="0"/>
  </r>
  <r>
    <n v="156715443"/>
    <x v="28"/>
    <x v="123"/>
    <x v="0"/>
    <n v="39"/>
    <s v="month"/>
    <x v="53"/>
    <x v="0"/>
    <x v="0"/>
  </r>
  <r>
    <n v="147656952"/>
    <x v="28"/>
    <x v="118"/>
    <x v="0"/>
    <n v="39"/>
    <s v="month"/>
    <x v="97"/>
    <x v="0"/>
    <x v="0"/>
  </r>
  <r>
    <n v="152918862"/>
    <x v="28"/>
    <x v="41"/>
    <x v="0"/>
    <n v="39"/>
    <s v="month"/>
    <x v="55"/>
    <x v="0"/>
    <x v="0"/>
  </r>
  <r>
    <n v="146866890"/>
    <x v="28"/>
    <x v="112"/>
    <x v="0"/>
    <n v="39"/>
    <s v="month"/>
    <x v="9"/>
    <x v="0"/>
    <x v="0"/>
  </r>
  <r>
    <n v="151735444"/>
    <x v="29"/>
    <x v="0"/>
    <x v="0"/>
    <n v="39"/>
    <s v="month"/>
    <x v="0"/>
    <x v="1"/>
    <x v="0"/>
  </r>
  <r>
    <n v="155608371"/>
    <x v="29"/>
    <x v="124"/>
    <x v="1"/>
    <n v="39"/>
    <s v="month"/>
    <x v="1"/>
    <x v="1"/>
    <x v="0"/>
  </r>
  <r>
    <n v="156809544"/>
    <x v="29"/>
    <x v="125"/>
    <x v="0"/>
    <n v="39"/>
    <s v="month"/>
    <x v="98"/>
    <x v="1"/>
    <x v="0"/>
  </r>
  <r>
    <n v="156813288"/>
    <x v="29"/>
    <x v="126"/>
    <x v="0"/>
    <n v="39"/>
    <s v="month"/>
    <x v="99"/>
    <x v="1"/>
    <x v="0"/>
  </r>
  <r>
    <n v="156817946"/>
    <x v="29"/>
    <x v="127"/>
    <x v="0"/>
    <n v="39"/>
    <s v="month"/>
    <x v="100"/>
    <x v="1"/>
    <x v="0"/>
  </r>
  <r>
    <n v="156194905"/>
    <x v="29"/>
    <x v="128"/>
    <x v="0"/>
    <n v="39"/>
    <s v="month"/>
    <x v="30"/>
    <x v="1"/>
    <x v="0"/>
  </r>
  <r>
    <n v="148568942"/>
    <x v="29"/>
    <x v="129"/>
    <x v="0"/>
    <n v="39"/>
    <s v="month"/>
    <x v="12"/>
    <x v="1"/>
    <x v="0"/>
  </r>
  <r>
    <n v="151154171"/>
    <x v="29"/>
    <x v="130"/>
    <x v="0"/>
    <n v="39"/>
    <s v="month"/>
    <x v="8"/>
    <x v="1"/>
    <x v="0"/>
  </r>
  <r>
    <n v="122921842"/>
    <x v="29"/>
    <x v="131"/>
    <x v="0"/>
    <n v="39"/>
    <s v="month"/>
    <x v="14"/>
    <x v="1"/>
    <x v="0"/>
  </r>
  <r>
    <n v="156754286"/>
    <x v="30"/>
    <x v="0"/>
    <x v="0"/>
    <n v="39"/>
    <s v="month"/>
    <x v="0"/>
    <x v="2"/>
    <x v="0"/>
  </r>
  <r>
    <n v="144160302"/>
    <x v="30"/>
    <x v="132"/>
    <x v="0"/>
    <n v="39"/>
    <s v="month"/>
    <x v="1"/>
    <x v="2"/>
    <x v="0"/>
  </r>
  <r>
    <n v="155045053"/>
    <x v="30"/>
    <x v="133"/>
    <x v="0"/>
    <n v="39"/>
    <s v="month"/>
    <x v="77"/>
    <x v="2"/>
    <x v="0"/>
  </r>
  <r>
    <n v="133869989"/>
    <x v="30"/>
    <x v="27"/>
    <x v="0"/>
    <n v="39"/>
    <s v="month"/>
    <x v="50"/>
    <x v="2"/>
    <x v="0"/>
  </r>
  <r>
    <n v="156863940"/>
    <x v="30"/>
    <x v="27"/>
    <x v="0"/>
    <n v="39"/>
    <s v="month"/>
    <x v="50"/>
    <x v="2"/>
    <x v="0"/>
  </r>
  <r>
    <n v="156884323"/>
    <x v="30"/>
    <x v="7"/>
    <x v="0"/>
    <n v="39"/>
    <s v="month"/>
    <x v="15"/>
    <x v="2"/>
    <x v="0"/>
  </r>
  <r>
    <n v="156365410"/>
    <x v="30"/>
    <x v="103"/>
    <x v="0"/>
    <n v="39"/>
    <s v="month"/>
    <x v="44"/>
    <x v="2"/>
    <x v="0"/>
  </r>
  <r>
    <n v="153957162"/>
    <x v="31"/>
    <x v="0"/>
    <x v="0"/>
    <n v="39"/>
    <s v="month"/>
    <x v="0"/>
    <x v="3"/>
    <x v="0"/>
  </r>
  <r>
    <n v="152436949"/>
    <x v="31"/>
    <x v="53"/>
    <x v="1"/>
    <n v="39"/>
    <s v="month"/>
    <x v="1"/>
    <x v="3"/>
    <x v="0"/>
  </r>
  <r>
    <n v="156403612"/>
    <x v="31"/>
    <x v="134"/>
    <x v="0"/>
    <n v="39"/>
    <s v="month"/>
    <x v="101"/>
    <x v="3"/>
    <x v="0"/>
  </r>
  <r>
    <n v="154198756"/>
    <x v="31"/>
    <x v="76"/>
    <x v="0"/>
    <n v="39"/>
    <s v="month"/>
    <x v="102"/>
    <x v="3"/>
    <x v="0"/>
  </r>
  <r>
    <n v="156917754"/>
    <x v="31"/>
    <x v="48"/>
    <x v="0"/>
    <n v="39"/>
    <s v="month"/>
    <x v="20"/>
    <x v="3"/>
    <x v="0"/>
  </r>
  <r>
    <n v="134975906"/>
    <x v="32"/>
    <x v="12"/>
    <x v="0"/>
    <n v="39"/>
    <s v="month"/>
    <x v="15"/>
    <x v="4"/>
    <x v="0"/>
  </r>
  <r>
    <n v="156955735"/>
    <x v="32"/>
    <x v="135"/>
    <x v="0"/>
    <n v="39"/>
    <s v="month"/>
    <x v="103"/>
    <x v="4"/>
    <x v="0"/>
  </r>
  <r>
    <n v="156982750"/>
    <x v="32"/>
    <x v="136"/>
    <x v="0"/>
    <n v="39"/>
    <s v="month"/>
    <x v="104"/>
    <x v="4"/>
    <x v="0"/>
  </r>
  <r>
    <n v="156953312"/>
    <x v="32"/>
    <x v="137"/>
    <x v="0"/>
    <n v="39"/>
    <s v="month"/>
    <x v="105"/>
    <x v="4"/>
    <x v="0"/>
  </r>
  <r>
    <n v="124642102"/>
    <x v="32"/>
    <x v="34"/>
    <x v="0"/>
    <n v="39"/>
    <s v="month"/>
    <x v="77"/>
    <x v="4"/>
    <x v="0"/>
  </r>
  <r>
    <n v="156940530"/>
    <x v="32"/>
    <x v="138"/>
    <x v="0"/>
    <n v="39"/>
    <s v="month"/>
    <x v="106"/>
    <x v="4"/>
    <x v="0"/>
  </r>
  <r>
    <n v="155602780"/>
    <x v="32"/>
    <x v="139"/>
    <x v="0"/>
    <n v="39"/>
    <s v="month"/>
    <x v="107"/>
    <x v="4"/>
    <x v="0"/>
  </r>
  <r>
    <n v="149635726"/>
    <x v="32"/>
    <x v="75"/>
    <x v="0"/>
    <n v="39"/>
    <s v="month"/>
    <x v="108"/>
    <x v="4"/>
    <x v="0"/>
  </r>
  <r>
    <n v="152660102"/>
    <x v="32"/>
    <x v="74"/>
    <x v="0"/>
    <n v="39"/>
    <s v="month"/>
    <x v="109"/>
    <x v="4"/>
    <x v="0"/>
  </r>
  <r>
    <n v="153620734"/>
    <x v="32"/>
    <x v="130"/>
    <x v="0"/>
    <n v="39"/>
    <s v="month"/>
    <x v="110"/>
    <x v="4"/>
    <x v="0"/>
  </r>
  <r>
    <n v="156940254"/>
    <x v="32"/>
    <x v="53"/>
    <x v="0"/>
    <n v="39"/>
    <s v="month"/>
    <x v="11"/>
    <x v="4"/>
    <x v="0"/>
  </r>
  <r>
    <n v="156940060"/>
    <x v="32"/>
    <x v="140"/>
    <x v="0"/>
    <n v="39"/>
    <s v="month"/>
    <x v="42"/>
    <x v="4"/>
    <x v="0"/>
  </r>
  <r>
    <n v="156938938"/>
    <x v="32"/>
    <x v="53"/>
    <x v="0"/>
    <n v="39"/>
    <s v="month"/>
    <x v="11"/>
    <x v="4"/>
    <x v="0"/>
  </r>
  <r>
    <n v="156955272"/>
    <x v="33"/>
    <x v="141"/>
    <x v="0"/>
    <n v="39"/>
    <s v="month"/>
    <x v="111"/>
    <x v="5"/>
    <x v="0"/>
  </r>
  <r>
    <n v="156941638"/>
    <x v="33"/>
    <x v="142"/>
    <x v="0"/>
    <n v="39"/>
    <s v="month"/>
    <x v="112"/>
    <x v="5"/>
    <x v="0"/>
  </r>
  <r>
    <n v="157154624"/>
    <x v="33"/>
    <x v="143"/>
    <x v="0"/>
    <n v="39"/>
    <s v="month"/>
    <x v="113"/>
    <x v="5"/>
    <x v="0"/>
  </r>
  <r>
    <n v="151677119"/>
    <x v="33"/>
    <x v="93"/>
    <x v="0"/>
    <n v="39"/>
    <s v="month"/>
    <x v="114"/>
    <x v="5"/>
    <x v="0"/>
  </r>
  <r>
    <n v="139465940"/>
    <x v="33"/>
    <x v="144"/>
    <x v="0"/>
    <n v="39"/>
    <s v="month"/>
    <x v="50"/>
    <x v="5"/>
    <x v="0"/>
  </r>
  <r>
    <n v="156895692"/>
    <x v="34"/>
    <x v="0"/>
    <x v="0"/>
    <n v="39"/>
    <s v="month"/>
    <x v="0"/>
    <x v="6"/>
    <x v="0"/>
  </r>
  <r>
    <n v="153587226"/>
    <x v="34"/>
    <x v="0"/>
    <x v="0"/>
    <n v="39"/>
    <s v="month"/>
    <x v="0"/>
    <x v="6"/>
    <x v="0"/>
  </r>
  <r>
    <n v="157295262"/>
    <x v="34"/>
    <x v="145"/>
    <x v="0"/>
    <n v="39"/>
    <s v="month"/>
    <x v="115"/>
    <x v="6"/>
    <x v="0"/>
  </r>
  <r>
    <n v="157284386"/>
    <x v="34"/>
    <x v="146"/>
    <x v="0"/>
    <n v="39"/>
    <s v="month"/>
    <x v="98"/>
    <x v="6"/>
    <x v="0"/>
  </r>
  <r>
    <n v="148762867"/>
    <x v="34"/>
    <x v="147"/>
    <x v="0"/>
    <n v="39"/>
    <s v="month"/>
    <x v="116"/>
    <x v="6"/>
    <x v="0"/>
  </r>
  <r>
    <n v="150433978"/>
    <x v="34"/>
    <x v="144"/>
    <x v="0"/>
    <n v="39"/>
    <s v="month"/>
    <x v="28"/>
    <x v="6"/>
    <x v="0"/>
  </r>
  <r>
    <n v="157272487"/>
    <x v="34"/>
    <x v="71"/>
    <x v="0"/>
    <n v="39"/>
    <s v="month"/>
    <x v="117"/>
    <x v="6"/>
    <x v="0"/>
  </r>
  <r>
    <n v="153776370"/>
    <x v="35"/>
    <x v="100"/>
    <x v="0"/>
    <n v="39"/>
    <s v="month"/>
    <x v="94"/>
    <x v="0"/>
    <x v="0"/>
  </r>
  <r>
    <n v="157371444"/>
    <x v="35"/>
    <x v="86"/>
    <x v="0"/>
    <n v="39"/>
    <s v="month"/>
    <x v="117"/>
    <x v="0"/>
    <x v="0"/>
  </r>
  <r>
    <n v="157095464"/>
    <x v="35"/>
    <x v="148"/>
    <x v="0"/>
    <n v="39"/>
    <s v="month"/>
    <x v="82"/>
    <x v="0"/>
    <x v="0"/>
  </r>
  <r>
    <n v="153554190"/>
    <x v="36"/>
    <x v="0"/>
    <x v="0"/>
    <n v="39"/>
    <s v="month"/>
    <x v="0"/>
    <x v="1"/>
    <x v="0"/>
  </r>
  <r>
    <n v="157411994"/>
    <x v="36"/>
    <x v="0"/>
    <x v="0"/>
    <n v="39"/>
    <s v="month"/>
    <x v="0"/>
    <x v="1"/>
    <x v="0"/>
  </r>
  <r>
    <n v="157374056"/>
    <x v="36"/>
    <x v="149"/>
    <x v="0"/>
    <n v="39"/>
    <s v="month"/>
    <x v="28"/>
    <x v="1"/>
    <x v="0"/>
  </r>
  <r>
    <n v="157397941"/>
    <x v="36"/>
    <x v="52"/>
    <x v="0"/>
    <n v="39"/>
    <s v="month"/>
    <x v="62"/>
    <x v="1"/>
    <x v="0"/>
  </r>
  <r>
    <n v="157234944"/>
    <x v="36"/>
    <x v="112"/>
    <x v="0"/>
    <n v="39"/>
    <s v="month"/>
    <x v="118"/>
    <x v="1"/>
    <x v="0"/>
  </r>
  <r>
    <n v="157490039"/>
    <x v="37"/>
    <x v="142"/>
    <x v="0"/>
    <n v="39"/>
    <s v="month"/>
    <x v="119"/>
    <x v="2"/>
    <x v="0"/>
  </r>
  <r>
    <n v="157484010"/>
    <x v="37"/>
    <x v="142"/>
    <x v="0"/>
    <n v="39"/>
    <s v="month"/>
    <x v="119"/>
    <x v="2"/>
    <x v="0"/>
  </r>
  <r>
    <n v="125038257"/>
    <x v="37"/>
    <x v="116"/>
    <x v="0"/>
    <n v="39"/>
    <s v="month"/>
    <x v="57"/>
    <x v="2"/>
    <x v="0"/>
  </r>
  <r>
    <n v="157400730"/>
    <x v="37"/>
    <x v="110"/>
    <x v="0"/>
    <n v="39"/>
    <s v="month"/>
    <x v="23"/>
    <x v="2"/>
    <x v="0"/>
  </r>
  <r>
    <n v="157450645"/>
    <x v="37"/>
    <x v="18"/>
    <x v="0"/>
    <n v="39"/>
    <s v="month"/>
    <x v="79"/>
    <x v="2"/>
    <x v="0"/>
  </r>
  <r>
    <n v="156943008"/>
    <x v="38"/>
    <x v="140"/>
    <x v="0"/>
    <n v="39"/>
    <s v="month"/>
    <x v="1"/>
    <x v="3"/>
    <x v="0"/>
  </r>
  <r>
    <n v="127328047"/>
    <x v="38"/>
    <x v="104"/>
    <x v="0"/>
    <n v="39"/>
    <s v="month"/>
    <x v="106"/>
    <x v="3"/>
    <x v="0"/>
  </r>
  <r>
    <n v="157506842"/>
    <x v="38"/>
    <x v="102"/>
    <x v="0"/>
    <n v="39"/>
    <s v="month"/>
    <x v="14"/>
    <x v="3"/>
    <x v="0"/>
  </r>
  <r>
    <n v="150924853"/>
    <x v="38"/>
    <x v="6"/>
    <x v="0"/>
    <n v="39"/>
    <s v="month"/>
    <x v="19"/>
    <x v="3"/>
    <x v="0"/>
  </r>
  <r>
    <n v="156996568"/>
    <x v="39"/>
    <x v="0"/>
    <x v="0"/>
    <n v="39"/>
    <s v="month"/>
    <x v="0"/>
    <x v="4"/>
    <x v="0"/>
  </r>
  <r>
    <n v="157627904"/>
    <x v="39"/>
    <x v="150"/>
    <x v="0"/>
    <n v="39"/>
    <s v="month"/>
    <x v="49"/>
    <x v="4"/>
    <x v="0"/>
  </r>
  <r>
    <n v="157058101"/>
    <x v="39"/>
    <x v="151"/>
    <x v="0"/>
    <n v="39"/>
    <s v="month"/>
    <x v="35"/>
    <x v="4"/>
    <x v="0"/>
  </r>
  <r>
    <n v="157394598"/>
    <x v="40"/>
    <x v="39"/>
    <x v="1"/>
    <n v="39"/>
    <s v="month"/>
    <x v="1"/>
    <x v="5"/>
    <x v="0"/>
  </r>
  <r>
    <n v="157765918"/>
    <x v="40"/>
    <x v="39"/>
    <x v="1"/>
    <n v="39"/>
    <s v="month"/>
    <x v="1"/>
    <x v="5"/>
    <x v="0"/>
  </r>
  <r>
    <n v="157746458"/>
    <x v="40"/>
    <x v="152"/>
    <x v="0"/>
    <n v="39"/>
    <s v="month"/>
    <x v="120"/>
    <x v="5"/>
    <x v="0"/>
  </r>
  <r>
    <n v="157590918"/>
    <x v="40"/>
    <x v="153"/>
    <x v="0"/>
    <n v="39"/>
    <s v="month"/>
    <x v="121"/>
    <x v="5"/>
    <x v="0"/>
  </r>
  <r>
    <n v="157290992"/>
    <x v="40"/>
    <x v="138"/>
    <x v="0"/>
    <n v="39"/>
    <s v="month"/>
    <x v="53"/>
    <x v="5"/>
    <x v="0"/>
  </r>
  <r>
    <n v="156895701"/>
    <x v="40"/>
    <x v="154"/>
    <x v="0"/>
    <n v="39"/>
    <s v="month"/>
    <x v="39"/>
    <x v="5"/>
    <x v="0"/>
  </r>
  <r>
    <n v="155926313"/>
    <x v="40"/>
    <x v="74"/>
    <x v="0"/>
    <n v="39"/>
    <s v="month"/>
    <x v="122"/>
    <x v="5"/>
    <x v="0"/>
  </r>
  <r>
    <n v="156110000"/>
    <x v="40"/>
    <x v="155"/>
    <x v="0"/>
    <n v="39"/>
    <s v="month"/>
    <x v="108"/>
    <x v="5"/>
    <x v="0"/>
  </r>
  <r>
    <n v="157851493"/>
    <x v="41"/>
    <x v="156"/>
    <x v="0"/>
    <n v="39"/>
    <s v="month"/>
    <x v="123"/>
    <x v="6"/>
    <x v="0"/>
  </r>
  <r>
    <n v="157792408"/>
    <x v="41"/>
    <x v="157"/>
    <x v="0"/>
    <n v="39"/>
    <s v="month"/>
    <x v="124"/>
    <x v="6"/>
    <x v="0"/>
  </r>
  <r>
    <n v="157868778"/>
    <x v="41"/>
    <x v="149"/>
    <x v="0"/>
    <n v="39"/>
    <s v="month"/>
    <x v="20"/>
    <x v="6"/>
    <x v="0"/>
  </r>
  <r>
    <n v="157833252"/>
    <x v="41"/>
    <x v="67"/>
    <x v="0"/>
    <n v="39"/>
    <s v="month"/>
    <x v="125"/>
    <x v="6"/>
    <x v="0"/>
  </r>
  <r>
    <n v="149662340"/>
    <x v="42"/>
    <x v="0"/>
    <x v="0"/>
    <n v="39"/>
    <s v="month"/>
    <x v="0"/>
    <x v="0"/>
    <x v="0"/>
  </r>
  <r>
    <n v="126918448"/>
    <x v="42"/>
    <x v="0"/>
    <x v="0"/>
    <n v="39"/>
    <s v="month"/>
    <x v="0"/>
    <x v="0"/>
    <x v="0"/>
  </r>
  <r>
    <n v="136897370"/>
    <x v="42"/>
    <x v="158"/>
    <x v="0"/>
    <n v="39"/>
    <s v="month"/>
    <x v="126"/>
    <x v="0"/>
    <x v="0"/>
  </r>
  <r>
    <n v="157921307"/>
    <x v="42"/>
    <x v="159"/>
    <x v="0"/>
    <n v="39"/>
    <s v="month"/>
    <x v="127"/>
    <x v="0"/>
    <x v="0"/>
  </r>
  <r>
    <n v="157905868"/>
    <x v="42"/>
    <x v="136"/>
    <x v="0"/>
    <n v="39"/>
    <s v="month"/>
    <x v="101"/>
    <x v="0"/>
    <x v="0"/>
  </r>
  <r>
    <n v="152377785"/>
    <x v="42"/>
    <x v="150"/>
    <x v="0"/>
    <n v="39"/>
    <s v="month"/>
    <x v="97"/>
    <x v="0"/>
    <x v="0"/>
  </r>
  <r>
    <n v="157567612"/>
    <x v="42"/>
    <x v="52"/>
    <x v="0"/>
    <n v="39"/>
    <s v="month"/>
    <x v="86"/>
    <x v="0"/>
    <x v="0"/>
  </r>
  <r>
    <n v="157993772"/>
    <x v="43"/>
    <x v="49"/>
    <x v="1"/>
    <n v="39"/>
    <s v="month"/>
    <x v="11"/>
    <x v="2"/>
    <x v="0"/>
  </r>
  <r>
    <n v="148769034"/>
    <x v="43"/>
    <x v="32"/>
    <x v="0"/>
    <n v="39"/>
    <s v="month"/>
    <x v="128"/>
    <x v="2"/>
    <x v="0"/>
  </r>
  <r>
    <n v="158050283"/>
    <x v="43"/>
    <x v="160"/>
    <x v="0"/>
    <n v="39"/>
    <s v="month"/>
    <x v="129"/>
    <x v="2"/>
    <x v="0"/>
  </r>
  <r>
    <n v="157436507"/>
    <x v="44"/>
    <x v="0"/>
    <x v="0"/>
    <n v="39"/>
    <s v="month"/>
    <x v="0"/>
    <x v="3"/>
    <x v="0"/>
  </r>
  <r>
    <n v="123808301"/>
    <x v="44"/>
    <x v="12"/>
    <x v="0"/>
    <n v="39"/>
    <s v="month"/>
    <x v="125"/>
    <x v="3"/>
    <x v="0"/>
  </r>
  <r>
    <n v="158033452"/>
    <x v="44"/>
    <x v="161"/>
    <x v="0"/>
    <n v="39"/>
    <s v="month"/>
    <x v="90"/>
    <x v="3"/>
    <x v="0"/>
  </r>
  <r>
    <n v="156796659"/>
    <x v="44"/>
    <x v="162"/>
    <x v="0"/>
    <n v="39"/>
    <s v="month"/>
    <x v="73"/>
    <x v="3"/>
    <x v="0"/>
  </r>
  <r>
    <n v="158093021"/>
    <x v="44"/>
    <x v="163"/>
    <x v="0"/>
    <n v="39"/>
    <s v="month"/>
    <x v="130"/>
    <x v="3"/>
    <x v="0"/>
  </r>
  <r>
    <n v="157900412"/>
    <x v="44"/>
    <x v="151"/>
    <x v="0"/>
    <n v="39"/>
    <s v="month"/>
    <x v="15"/>
    <x v="3"/>
    <x v="0"/>
  </r>
  <r>
    <n v="152892719"/>
    <x v="44"/>
    <x v="54"/>
    <x v="0"/>
    <n v="39"/>
    <s v="month"/>
    <x v="11"/>
    <x v="3"/>
    <x v="0"/>
  </r>
  <r>
    <n v="158009130"/>
    <x v="45"/>
    <x v="0"/>
    <x v="0"/>
    <n v="39"/>
    <s v="month"/>
    <x v="0"/>
    <x v="4"/>
    <x v="0"/>
  </r>
  <r>
    <n v="157904656"/>
    <x v="45"/>
    <x v="164"/>
    <x v="0"/>
    <n v="39"/>
    <s v="month"/>
    <x v="26"/>
    <x v="4"/>
    <x v="0"/>
  </r>
  <r>
    <n v="157838980"/>
    <x v="45"/>
    <x v="165"/>
    <x v="0"/>
    <n v="39"/>
    <s v="month"/>
    <x v="131"/>
    <x v="4"/>
    <x v="0"/>
  </r>
  <r>
    <n v="123402996"/>
    <x v="45"/>
    <x v="166"/>
    <x v="0"/>
    <n v="39"/>
    <s v="month"/>
    <x v="132"/>
    <x v="4"/>
    <x v="0"/>
  </r>
  <r>
    <n v="158112356"/>
    <x v="45"/>
    <x v="167"/>
    <x v="0"/>
    <n v="39"/>
    <s v="month"/>
    <x v="61"/>
    <x v="4"/>
    <x v="0"/>
  </r>
  <r>
    <n v="152410420"/>
    <x v="45"/>
    <x v="111"/>
    <x v="0"/>
    <n v="39"/>
    <s v="month"/>
    <x v="50"/>
    <x v="4"/>
    <x v="0"/>
  </r>
  <r>
    <n v="158164441"/>
    <x v="45"/>
    <x v="116"/>
    <x v="0"/>
    <n v="39"/>
    <s v="month"/>
    <x v="28"/>
    <x v="4"/>
    <x v="0"/>
  </r>
  <r>
    <n v="153956466"/>
    <x v="45"/>
    <x v="116"/>
    <x v="0"/>
    <n v="39"/>
    <s v="month"/>
    <x v="28"/>
    <x v="4"/>
    <x v="0"/>
  </r>
  <r>
    <n v="158100990"/>
    <x v="45"/>
    <x v="76"/>
    <x v="0"/>
    <n v="39"/>
    <s v="month"/>
    <x v="44"/>
    <x v="4"/>
    <x v="0"/>
  </r>
  <r>
    <n v="158096894"/>
    <x v="45"/>
    <x v="76"/>
    <x v="0"/>
    <n v="39"/>
    <s v="month"/>
    <x v="44"/>
    <x v="4"/>
    <x v="0"/>
  </r>
  <r>
    <n v="158066376"/>
    <x v="45"/>
    <x v="75"/>
    <x v="0"/>
    <n v="39"/>
    <s v="month"/>
    <x v="2"/>
    <x v="4"/>
    <x v="0"/>
  </r>
  <r>
    <n v="158220808"/>
    <x v="46"/>
    <x v="0"/>
    <x v="1"/>
    <n v="39"/>
    <s v="month"/>
    <x v="0"/>
    <x v="5"/>
    <x v="0"/>
  </r>
  <r>
    <n v="131779624"/>
    <x v="46"/>
    <x v="168"/>
    <x v="0"/>
    <n v="39"/>
    <s v="month"/>
    <x v="87"/>
    <x v="5"/>
    <x v="0"/>
  </r>
  <r>
    <n v="158267390"/>
    <x v="46"/>
    <x v="169"/>
    <x v="0"/>
    <n v="39"/>
    <s v="month"/>
    <x v="39"/>
    <x v="5"/>
    <x v="0"/>
  </r>
  <r>
    <n v="152354478"/>
    <x v="46"/>
    <x v="170"/>
    <x v="0"/>
    <n v="39"/>
    <s v="month"/>
    <x v="133"/>
    <x v="5"/>
    <x v="0"/>
  </r>
  <r>
    <n v="146376235"/>
    <x v="46"/>
    <x v="71"/>
    <x v="0"/>
    <n v="39"/>
    <s v="month"/>
    <x v="43"/>
    <x v="5"/>
    <x v="0"/>
  </r>
  <r>
    <n v="153953296"/>
    <x v="46"/>
    <x v="27"/>
    <x v="0"/>
    <n v="39"/>
    <s v="month"/>
    <x v="134"/>
    <x v="5"/>
    <x v="0"/>
  </r>
  <r>
    <n v="154659594"/>
    <x v="46"/>
    <x v="76"/>
    <x v="0"/>
    <n v="39"/>
    <s v="month"/>
    <x v="62"/>
    <x v="5"/>
    <x v="0"/>
  </r>
  <r>
    <n v="157998778"/>
    <x v="46"/>
    <x v="168"/>
    <x v="0"/>
    <n v="39"/>
    <s v="month"/>
    <x v="87"/>
    <x v="5"/>
    <x v="0"/>
  </r>
  <r>
    <n v="150668840"/>
    <x v="46"/>
    <x v="28"/>
    <x v="0"/>
    <n v="39"/>
    <s v="month"/>
    <x v="10"/>
    <x v="5"/>
    <x v="0"/>
  </r>
  <r>
    <n v="158184958"/>
    <x v="46"/>
    <x v="27"/>
    <x v="0"/>
    <n v="39"/>
    <s v="month"/>
    <x v="134"/>
    <x v="5"/>
    <x v="0"/>
  </r>
  <r>
    <n v="158362440"/>
    <x v="47"/>
    <x v="171"/>
    <x v="0"/>
    <n v="39"/>
    <s v="month"/>
    <x v="135"/>
    <x v="6"/>
    <x v="0"/>
  </r>
  <r>
    <n v="158477370"/>
    <x v="47"/>
    <x v="56"/>
    <x v="0"/>
    <n v="39"/>
    <s v="month"/>
    <x v="136"/>
    <x v="6"/>
    <x v="0"/>
  </r>
  <r>
    <n v="158047538"/>
    <x v="47"/>
    <x v="172"/>
    <x v="0"/>
    <n v="39"/>
    <s v="month"/>
    <x v="137"/>
    <x v="6"/>
    <x v="0"/>
  </r>
  <r>
    <n v="157910445"/>
    <x v="47"/>
    <x v="25"/>
    <x v="0"/>
    <n v="39"/>
    <s v="month"/>
    <x v="138"/>
    <x v="6"/>
    <x v="0"/>
  </r>
  <r>
    <n v="154091460"/>
    <x v="47"/>
    <x v="173"/>
    <x v="0"/>
    <n v="39"/>
    <s v="month"/>
    <x v="139"/>
    <x v="6"/>
    <x v="0"/>
  </r>
  <r>
    <n v="158532103"/>
    <x v="48"/>
    <x v="174"/>
    <x v="0"/>
    <n v="39"/>
    <s v="month"/>
    <x v="140"/>
    <x v="0"/>
    <x v="0"/>
  </r>
  <r>
    <n v="158591698"/>
    <x v="48"/>
    <x v="137"/>
    <x v="0"/>
    <n v="39"/>
    <s v="month"/>
    <x v="141"/>
    <x v="0"/>
    <x v="0"/>
  </r>
  <r>
    <n v="158533909"/>
    <x v="48"/>
    <x v="175"/>
    <x v="0"/>
    <n v="39"/>
    <s v="month"/>
    <x v="106"/>
    <x v="0"/>
    <x v="0"/>
  </r>
  <r>
    <n v="156372496"/>
    <x v="48"/>
    <x v="164"/>
    <x v="0"/>
    <n v="39"/>
    <s v="month"/>
    <x v="109"/>
    <x v="0"/>
    <x v="0"/>
  </r>
  <r>
    <n v="158620475"/>
    <x v="48"/>
    <x v="176"/>
    <x v="0"/>
    <n v="39"/>
    <s v="month"/>
    <x v="142"/>
    <x v="0"/>
    <x v="0"/>
  </r>
  <r>
    <n v="158539824"/>
    <x v="48"/>
    <x v="177"/>
    <x v="0"/>
    <n v="39"/>
    <s v="month"/>
    <x v="143"/>
    <x v="0"/>
    <x v="0"/>
  </r>
  <r>
    <n v="158499042"/>
    <x v="49"/>
    <x v="0"/>
    <x v="0"/>
    <n v="39"/>
    <s v="month"/>
    <x v="0"/>
    <x v="1"/>
    <x v="0"/>
  </r>
  <r>
    <n v="158755464"/>
    <x v="49"/>
    <x v="74"/>
    <x v="0"/>
    <n v="39"/>
    <s v="month"/>
    <x v="87"/>
    <x v="1"/>
    <x v="0"/>
  </r>
  <r>
    <n v="149112756"/>
    <x v="49"/>
    <x v="178"/>
    <x v="0"/>
    <n v="39"/>
    <s v="month"/>
    <x v="17"/>
    <x v="1"/>
    <x v="0"/>
  </r>
  <r>
    <n v="149065622"/>
    <x v="49"/>
    <x v="118"/>
    <x v="0"/>
    <n v="39"/>
    <s v="month"/>
    <x v="39"/>
    <x v="1"/>
    <x v="0"/>
  </r>
  <r>
    <n v="158656065"/>
    <x v="49"/>
    <x v="167"/>
    <x v="0"/>
    <n v="39"/>
    <s v="month"/>
    <x v="144"/>
    <x v="1"/>
    <x v="0"/>
  </r>
  <r>
    <n v="158756090"/>
    <x v="49"/>
    <x v="27"/>
    <x v="0"/>
    <n v="39"/>
    <s v="month"/>
    <x v="71"/>
    <x v="1"/>
    <x v="0"/>
  </r>
  <r>
    <n v="158447710"/>
    <x v="49"/>
    <x v="111"/>
    <x v="0"/>
    <n v="39"/>
    <s v="month"/>
    <x v="44"/>
    <x v="1"/>
    <x v="0"/>
  </r>
  <r>
    <n v="157568391"/>
    <x v="49"/>
    <x v="85"/>
    <x v="0"/>
    <n v="39"/>
    <s v="month"/>
    <x v="28"/>
    <x v="1"/>
    <x v="0"/>
  </r>
  <r>
    <n v="157505106"/>
    <x v="50"/>
    <x v="0"/>
    <x v="0"/>
    <n v="39"/>
    <s v="month"/>
    <x v="0"/>
    <x v="2"/>
    <x v="0"/>
  </r>
  <r>
    <n v="158761363"/>
    <x v="50"/>
    <x v="179"/>
    <x v="0"/>
    <n v="39"/>
    <s v="month"/>
    <x v="145"/>
    <x v="2"/>
    <x v="0"/>
  </r>
  <r>
    <n v="144858980"/>
    <x v="50"/>
    <x v="80"/>
    <x v="0"/>
    <n v="39"/>
    <s v="month"/>
    <x v="94"/>
    <x v="2"/>
    <x v="0"/>
  </r>
  <r>
    <n v="151000288"/>
    <x v="50"/>
    <x v="80"/>
    <x v="0"/>
    <n v="39"/>
    <s v="month"/>
    <x v="94"/>
    <x v="2"/>
    <x v="0"/>
  </r>
  <r>
    <n v="136276852"/>
    <x v="50"/>
    <x v="121"/>
    <x v="0"/>
    <n v="39"/>
    <s v="month"/>
    <x v="28"/>
    <x v="2"/>
    <x v="0"/>
  </r>
  <r>
    <n v="158767852"/>
    <x v="50"/>
    <x v="130"/>
    <x v="0"/>
    <n v="39"/>
    <s v="month"/>
    <x v="87"/>
    <x v="2"/>
    <x v="0"/>
  </r>
  <r>
    <n v="158849640"/>
    <x v="51"/>
    <x v="0"/>
    <x v="0"/>
    <n v="39"/>
    <s v="month"/>
    <x v="0"/>
    <x v="3"/>
    <x v="0"/>
  </r>
  <r>
    <n v="151491892"/>
    <x v="51"/>
    <x v="112"/>
    <x v="0"/>
    <n v="39"/>
    <s v="month"/>
    <x v="1"/>
    <x v="3"/>
    <x v="0"/>
  </r>
  <r>
    <n v="157474087"/>
    <x v="51"/>
    <x v="167"/>
    <x v="0"/>
    <n v="39"/>
    <s v="month"/>
    <x v="39"/>
    <x v="3"/>
    <x v="0"/>
  </r>
  <r>
    <n v="157997679"/>
    <x v="51"/>
    <x v="180"/>
    <x v="0"/>
    <n v="39"/>
    <s v="month"/>
    <x v="146"/>
    <x v="3"/>
    <x v="0"/>
  </r>
  <r>
    <n v="158566772"/>
    <x v="51"/>
    <x v="56"/>
    <x v="0"/>
    <n v="39"/>
    <s v="month"/>
    <x v="147"/>
    <x v="3"/>
    <x v="0"/>
  </r>
  <r>
    <n v="157788656"/>
    <x v="51"/>
    <x v="181"/>
    <x v="0"/>
    <n v="39"/>
    <s v="month"/>
    <x v="27"/>
    <x v="3"/>
    <x v="0"/>
  </r>
  <r>
    <n v="158832658"/>
    <x v="51"/>
    <x v="27"/>
    <x v="0"/>
    <n v="39"/>
    <s v="month"/>
    <x v="79"/>
    <x v="3"/>
    <x v="0"/>
  </r>
  <r>
    <n v="130837976"/>
    <x v="51"/>
    <x v="6"/>
    <x v="0"/>
    <n v="39"/>
    <s v="month"/>
    <x v="28"/>
    <x v="3"/>
    <x v="0"/>
  </r>
  <r>
    <n v="159095030"/>
    <x v="52"/>
    <x v="165"/>
    <x v="0"/>
    <n v="39"/>
    <s v="month"/>
    <x v="85"/>
    <x v="4"/>
    <x v="0"/>
  </r>
  <r>
    <n v="159028041"/>
    <x v="52"/>
    <x v="109"/>
    <x v="0"/>
    <n v="39"/>
    <s v="month"/>
    <x v="87"/>
    <x v="4"/>
    <x v="0"/>
  </r>
  <r>
    <n v="159018168"/>
    <x v="52"/>
    <x v="109"/>
    <x v="0"/>
    <n v="39"/>
    <s v="month"/>
    <x v="87"/>
    <x v="4"/>
    <x v="0"/>
  </r>
  <r>
    <n v="157981870"/>
    <x v="52"/>
    <x v="149"/>
    <x v="0"/>
    <n v="39"/>
    <s v="month"/>
    <x v="10"/>
    <x v="4"/>
    <x v="0"/>
  </r>
  <r>
    <n v="153061698"/>
    <x v="52"/>
    <x v="182"/>
    <x v="0"/>
    <n v="39"/>
    <s v="month"/>
    <x v="28"/>
    <x v="4"/>
    <x v="0"/>
  </r>
  <r>
    <n v="159204523"/>
    <x v="53"/>
    <x v="0"/>
    <x v="0"/>
    <n v="39"/>
    <s v="month"/>
    <x v="0"/>
    <x v="5"/>
    <x v="0"/>
  </r>
  <r>
    <n v="159236268"/>
    <x v="53"/>
    <x v="0"/>
    <x v="1"/>
    <n v="39"/>
    <s v="month"/>
    <x v="0"/>
    <x v="5"/>
    <x v="0"/>
  </r>
  <r>
    <n v="159256553"/>
    <x v="53"/>
    <x v="138"/>
    <x v="0"/>
    <n v="39"/>
    <s v="month"/>
    <x v="148"/>
    <x v="5"/>
    <x v="0"/>
  </r>
  <r>
    <n v="159211568"/>
    <x v="53"/>
    <x v="183"/>
    <x v="0"/>
    <n v="39"/>
    <s v="month"/>
    <x v="88"/>
    <x v="5"/>
    <x v="0"/>
  </r>
  <r>
    <n v="154778395"/>
    <x v="53"/>
    <x v="74"/>
    <x v="0"/>
    <n v="39"/>
    <s v="month"/>
    <x v="36"/>
    <x v="5"/>
    <x v="0"/>
  </r>
  <r>
    <n v="157961180"/>
    <x v="53"/>
    <x v="182"/>
    <x v="0"/>
    <n v="39"/>
    <s v="month"/>
    <x v="35"/>
    <x v="5"/>
    <x v="0"/>
  </r>
  <r>
    <n v="159281338"/>
    <x v="54"/>
    <x v="0"/>
    <x v="0"/>
    <n v="39"/>
    <s v="month"/>
    <x v="0"/>
    <x v="6"/>
    <x v="0"/>
  </r>
  <r>
    <n v="159364232"/>
    <x v="54"/>
    <x v="0"/>
    <x v="0"/>
    <n v="39"/>
    <s v="month"/>
    <x v="0"/>
    <x v="6"/>
    <x v="0"/>
  </r>
  <r>
    <n v="159276280"/>
    <x v="54"/>
    <x v="0"/>
    <x v="0"/>
    <n v="39"/>
    <s v="month"/>
    <x v="0"/>
    <x v="6"/>
    <x v="0"/>
  </r>
  <r>
    <n v="159326830"/>
    <x v="54"/>
    <x v="12"/>
    <x v="0"/>
    <n v="39"/>
    <s v="month"/>
    <x v="1"/>
    <x v="6"/>
    <x v="0"/>
  </r>
  <r>
    <n v="158144924"/>
    <x v="54"/>
    <x v="184"/>
    <x v="0"/>
    <n v="39"/>
    <s v="month"/>
    <x v="31"/>
    <x v="6"/>
    <x v="0"/>
  </r>
  <r>
    <n v="159239867"/>
    <x v="54"/>
    <x v="164"/>
    <x v="0"/>
    <n v="39"/>
    <s v="month"/>
    <x v="43"/>
    <x v="6"/>
    <x v="0"/>
  </r>
  <r>
    <n v="159108970"/>
    <x v="54"/>
    <x v="181"/>
    <x v="0"/>
    <n v="39"/>
    <s v="month"/>
    <x v="13"/>
    <x v="6"/>
    <x v="0"/>
  </r>
  <r>
    <n v="158644133"/>
    <x v="54"/>
    <x v="5"/>
    <x v="0"/>
    <n v="39"/>
    <s v="month"/>
    <x v="28"/>
    <x v="6"/>
    <x v="0"/>
  </r>
  <r>
    <n v="153830193"/>
    <x v="54"/>
    <x v="12"/>
    <x v="0"/>
    <n v="39"/>
    <s v="month"/>
    <x v="1"/>
    <x v="6"/>
    <x v="0"/>
  </r>
  <r>
    <n v="159664292"/>
    <x v="55"/>
    <x v="0"/>
    <x v="0"/>
    <n v="39"/>
    <s v="month"/>
    <x v="0"/>
    <x v="0"/>
    <x v="0"/>
  </r>
  <r>
    <n v="152937944"/>
    <x v="55"/>
    <x v="48"/>
    <x v="1"/>
    <n v="39"/>
    <s v="month"/>
    <x v="1"/>
    <x v="0"/>
    <x v="0"/>
  </r>
  <r>
    <n v="159446393"/>
    <x v="55"/>
    <x v="185"/>
    <x v="0"/>
    <n v="39"/>
    <s v="month"/>
    <x v="123"/>
    <x v="0"/>
    <x v="0"/>
  </r>
  <r>
    <n v="156837717"/>
    <x v="55"/>
    <x v="186"/>
    <x v="0"/>
    <n v="39"/>
    <s v="month"/>
    <x v="149"/>
    <x v="0"/>
    <x v="0"/>
  </r>
  <r>
    <n v="149000400"/>
    <x v="55"/>
    <x v="179"/>
    <x v="0"/>
    <n v="39"/>
    <s v="month"/>
    <x v="131"/>
    <x v="0"/>
    <x v="0"/>
  </r>
  <r>
    <n v="157923615"/>
    <x v="55"/>
    <x v="34"/>
    <x v="0"/>
    <n v="39"/>
    <s v="month"/>
    <x v="39"/>
    <x v="0"/>
    <x v="0"/>
  </r>
  <r>
    <n v="159699736"/>
    <x v="55"/>
    <x v="168"/>
    <x v="0"/>
    <n v="39"/>
    <s v="month"/>
    <x v="72"/>
    <x v="0"/>
    <x v="0"/>
  </r>
  <r>
    <n v="150816815"/>
    <x v="55"/>
    <x v="155"/>
    <x v="0"/>
    <n v="39"/>
    <s v="month"/>
    <x v="40"/>
    <x v="0"/>
    <x v="0"/>
  </r>
  <r>
    <n v="159634168"/>
    <x v="55"/>
    <x v="187"/>
    <x v="0"/>
    <n v="39"/>
    <s v="month"/>
    <x v="100"/>
    <x v="0"/>
    <x v="0"/>
  </r>
  <r>
    <n v="158114418"/>
    <x v="56"/>
    <x v="0"/>
    <x v="0"/>
    <n v="39"/>
    <s v="month"/>
    <x v="0"/>
    <x v="1"/>
    <x v="0"/>
  </r>
  <r>
    <n v="159706104"/>
    <x v="56"/>
    <x v="0"/>
    <x v="0"/>
    <n v="39"/>
    <s v="month"/>
    <x v="0"/>
    <x v="1"/>
    <x v="0"/>
  </r>
  <r>
    <n v="150704581"/>
    <x v="56"/>
    <x v="15"/>
    <x v="0"/>
    <n v="39"/>
    <s v="month"/>
    <x v="150"/>
    <x v="1"/>
    <x v="0"/>
  </r>
  <r>
    <n v="159733207"/>
    <x v="56"/>
    <x v="188"/>
    <x v="0"/>
    <n v="39"/>
    <s v="month"/>
    <x v="131"/>
    <x v="1"/>
    <x v="0"/>
  </r>
  <r>
    <n v="159775056"/>
    <x v="56"/>
    <x v="189"/>
    <x v="0"/>
    <n v="39"/>
    <s v="month"/>
    <x v="151"/>
    <x v="1"/>
    <x v="0"/>
  </r>
  <r>
    <n v="144328609"/>
    <x v="56"/>
    <x v="169"/>
    <x v="0"/>
    <n v="39"/>
    <s v="month"/>
    <x v="27"/>
    <x v="1"/>
    <x v="0"/>
  </r>
  <r>
    <n v="153172687"/>
    <x v="56"/>
    <x v="190"/>
    <x v="0"/>
    <n v="39"/>
    <s v="month"/>
    <x v="152"/>
    <x v="1"/>
    <x v="0"/>
  </r>
  <r>
    <n v="159861170"/>
    <x v="57"/>
    <x v="0"/>
    <x v="0"/>
    <n v="39"/>
    <s v="month"/>
    <x v="0"/>
    <x v="2"/>
    <x v="0"/>
  </r>
  <r>
    <n v="133474642"/>
    <x v="57"/>
    <x v="181"/>
    <x v="0"/>
    <n v="39"/>
    <s v="month"/>
    <x v="55"/>
    <x v="2"/>
    <x v="0"/>
  </r>
  <r>
    <n v="159817608"/>
    <x v="57"/>
    <x v="78"/>
    <x v="0"/>
    <n v="39"/>
    <s v="month"/>
    <x v="153"/>
    <x v="2"/>
    <x v="0"/>
  </r>
  <r>
    <n v="159867686"/>
    <x v="57"/>
    <x v="79"/>
    <x v="0"/>
    <n v="39"/>
    <s v="month"/>
    <x v="39"/>
    <x v="2"/>
    <x v="0"/>
  </r>
  <r>
    <n v="158484064"/>
    <x v="57"/>
    <x v="79"/>
    <x v="0"/>
    <n v="39"/>
    <s v="month"/>
    <x v="39"/>
    <x v="2"/>
    <x v="0"/>
  </r>
  <r>
    <n v="159829834"/>
    <x v="58"/>
    <x v="0"/>
    <x v="0"/>
    <n v="39"/>
    <s v="month"/>
    <x v="0"/>
    <x v="3"/>
    <x v="0"/>
  </r>
  <r>
    <n v="159875790"/>
    <x v="58"/>
    <x v="191"/>
    <x v="0"/>
    <n v="39"/>
    <s v="month"/>
    <x v="154"/>
    <x v="3"/>
    <x v="0"/>
  </r>
  <r>
    <n v="155520280"/>
    <x v="58"/>
    <x v="71"/>
    <x v="0"/>
    <n v="39"/>
    <s v="month"/>
    <x v="87"/>
    <x v="3"/>
    <x v="0"/>
  </r>
  <r>
    <n v="159783942"/>
    <x v="58"/>
    <x v="118"/>
    <x v="0"/>
    <n v="39"/>
    <s v="month"/>
    <x v="26"/>
    <x v="3"/>
    <x v="0"/>
  </r>
  <r>
    <n v="149696432"/>
    <x v="58"/>
    <x v="5"/>
    <x v="0"/>
    <n v="39"/>
    <s v="month"/>
    <x v="62"/>
    <x v="3"/>
    <x v="0"/>
  </r>
  <r>
    <n v="159979372"/>
    <x v="59"/>
    <x v="0"/>
    <x v="0"/>
    <n v="39"/>
    <s v="month"/>
    <x v="0"/>
    <x v="4"/>
    <x v="0"/>
  </r>
  <r>
    <n v="153814649"/>
    <x v="59"/>
    <x v="0"/>
    <x v="0"/>
    <n v="39"/>
    <s v="month"/>
    <x v="0"/>
    <x v="4"/>
    <x v="0"/>
  </r>
  <r>
    <n v="159931469"/>
    <x v="59"/>
    <x v="0"/>
    <x v="0"/>
    <n v="39"/>
    <s v="month"/>
    <x v="0"/>
    <x v="4"/>
    <x v="0"/>
  </r>
  <r>
    <n v="138061210"/>
    <x v="59"/>
    <x v="8"/>
    <x v="0"/>
    <n v="39"/>
    <s v="month"/>
    <x v="11"/>
    <x v="4"/>
    <x v="0"/>
  </r>
  <r>
    <n v="141403460"/>
    <x v="59"/>
    <x v="104"/>
    <x v="0"/>
    <n v="39"/>
    <s v="month"/>
    <x v="148"/>
    <x v="4"/>
    <x v="0"/>
  </r>
  <r>
    <n v="159991922"/>
    <x v="59"/>
    <x v="92"/>
    <x v="0"/>
    <n v="39"/>
    <s v="month"/>
    <x v="155"/>
    <x v="4"/>
    <x v="0"/>
  </r>
  <r>
    <n v="159241648"/>
    <x v="59"/>
    <x v="93"/>
    <x v="0"/>
    <n v="39"/>
    <s v="month"/>
    <x v="34"/>
    <x v="4"/>
    <x v="0"/>
  </r>
  <r>
    <n v="150703411"/>
    <x v="59"/>
    <x v="109"/>
    <x v="0"/>
    <n v="39"/>
    <s v="month"/>
    <x v="28"/>
    <x v="4"/>
    <x v="0"/>
  </r>
  <r>
    <n v="159773641"/>
    <x v="59"/>
    <x v="102"/>
    <x v="0"/>
    <n v="39"/>
    <s v="month"/>
    <x v="134"/>
    <x v="4"/>
    <x v="0"/>
  </r>
  <r>
    <n v="128002797"/>
    <x v="59"/>
    <x v="106"/>
    <x v="0"/>
    <n v="39"/>
    <s v="month"/>
    <x v="35"/>
    <x v="4"/>
    <x v="0"/>
  </r>
  <r>
    <n v="155807489"/>
    <x v="60"/>
    <x v="27"/>
    <x v="1"/>
    <n v="39"/>
    <s v="month"/>
    <x v="1"/>
    <x v="5"/>
    <x v="0"/>
  </r>
  <r>
    <n v="143077712"/>
    <x v="60"/>
    <x v="27"/>
    <x v="1"/>
    <n v="39"/>
    <s v="month"/>
    <x v="1"/>
    <x v="5"/>
    <x v="0"/>
  </r>
  <r>
    <n v="159745646"/>
    <x v="60"/>
    <x v="122"/>
    <x v="0"/>
    <n v="39"/>
    <s v="month"/>
    <x v="48"/>
    <x v="5"/>
    <x v="0"/>
  </r>
  <r>
    <n v="139004918"/>
    <x v="60"/>
    <x v="109"/>
    <x v="0"/>
    <n v="39"/>
    <s v="month"/>
    <x v="35"/>
    <x v="5"/>
    <x v="0"/>
  </r>
  <r>
    <n v="153255183"/>
    <x v="60"/>
    <x v="165"/>
    <x v="0"/>
    <n v="39"/>
    <s v="month"/>
    <x v="133"/>
    <x v="5"/>
    <x v="0"/>
  </r>
  <r>
    <n v="157708746"/>
    <x v="60"/>
    <x v="192"/>
    <x v="0"/>
    <n v="39"/>
    <s v="month"/>
    <x v="53"/>
    <x v="5"/>
    <x v="0"/>
  </r>
  <r>
    <n v="155652993"/>
    <x v="60"/>
    <x v="193"/>
    <x v="0"/>
    <n v="39"/>
    <s v="month"/>
    <x v="39"/>
    <x v="5"/>
    <x v="0"/>
  </r>
  <r>
    <n v="159977918"/>
    <x v="60"/>
    <x v="194"/>
    <x v="0"/>
    <n v="39"/>
    <s v="month"/>
    <x v="46"/>
    <x v="5"/>
    <x v="0"/>
  </r>
  <r>
    <n v="160108159"/>
    <x v="60"/>
    <x v="113"/>
    <x v="0"/>
    <n v="39"/>
    <s v="month"/>
    <x v="156"/>
    <x v="5"/>
    <x v="0"/>
  </r>
  <r>
    <n v="160051910"/>
    <x v="60"/>
    <x v="151"/>
    <x v="0"/>
    <n v="39"/>
    <s v="month"/>
    <x v="63"/>
    <x v="5"/>
    <x v="0"/>
  </r>
  <r>
    <n v="146169043"/>
    <x v="60"/>
    <x v="195"/>
    <x v="0"/>
    <n v="39"/>
    <s v="month"/>
    <x v="157"/>
    <x v="5"/>
    <x v="0"/>
  </r>
  <r>
    <n v="159927090"/>
    <x v="61"/>
    <x v="0"/>
    <x v="0"/>
    <n v="39"/>
    <s v="month"/>
    <x v="0"/>
    <x v="6"/>
    <x v="0"/>
  </r>
  <r>
    <n v="149188028"/>
    <x v="61"/>
    <x v="0"/>
    <x v="0"/>
    <n v="39"/>
    <s v="month"/>
    <x v="0"/>
    <x v="6"/>
    <x v="0"/>
  </r>
  <r>
    <n v="138535334"/>
    <x v="61"/>
    <x v="164"/>
    <x v="0"/>
    <n v="39"/>
    <s v="month"/>
    <x v="102"/>
    <x v="6"/>
    <x v="0"/>
  </r>
  <r>
    <n v="159901871"/>
    <x v="61"/>
    <x v="11"/>
    <x v="0"/>
    <n v="39"/>
    <s v="month"/>
    <x v="14"/>
    <x v="6"/>
    <x v="0"/>
  </r>
  <r>
    <n v="159620660"/>
    <x v="61"/>
    <x v="36"/>
    <x v="0"/>
    <n v="39"/>
    <s v="month"/>
    <x v="57"/>
    <x v="6"/>
    <x v="0"/>
  </r>
  <r>
    <n v="160199525"/>
    <x v="61"/>
    <x v="6"/>
    <x v="0"/>
    <n v="39"/>
    <s v="month"/>
    <x v="86"/>
    <x v="6"/>
    <x v="0"/>
  </r>
  <r>
    <n v="160183686"/>
    <x v="62"/>
    <x v="196"/>
    <x v="1"/>
    <n v="39"/>
    <s v="month"/>
    <x v="1"/>
    <x v="0"/>
    <x v="0"/>
  </r>
  <r>
    <n v="152504354"/>
    <x v="62"/>
    <x v="197"/>
    <x v="0"/>
    <n v="39"/>
    <s v="month"/>
    <x v="31"/>
    <x v="0"/>
    <x v="0"/>
  </r>
  <r>
    <n v="143164854"/>
    <x v="62"/>
    <x v="198"/>
    <x v="0"/>
    <n v="39"/>
    <s v="month"/>
    <x v="133"/>
    <x v="0"/>
    <x v="0"/>
  </r>
  <r>
    <n v="160366020"/>
    <x v="62"/>
    <x v="199"/>
    <x v="0"/>
    <n v="39"/>
    <s v="month"/>
    <x v="35"/>
    <x v="0"/>
    <x v="0"/>
  </r>
  <r>
    <n v="160298168"/>
    <x v="62"/>
    <x v="51"/>
    <x v="0"/>
    <n v="39"/>
    <s v="month"/>
    <x v="72"/>
    <x v="0"/>
    <x v="0"/>
  </r>
  <r>
    <n v="160243008"/>
    <x v="62"/>
    <x v="123"/>
    <x v="0"/>
    <n v="39"/>
    <s v="month"/>
    <x v="109"/>
    <x v="0"/>
    <x v="0"/>
  </r>
  <r>
    <n v="150878120"/>
    <x v="62"/>
    <x v="200"/>
    <x v="0"/>
    <n v="39"/>
    <s v="month"/>
    <x v="14"/>
    <x v="0"/>
    <x v="0"/>
  </r>
  <r>
    <n v="160208723"/>
    <x v="63"/>
    <x v="0"/>
    <x v="0"/>
    <n v="39"/>
    <s v="month"/>
    <x v="0"/>
    <x v="1"/>
    <x v="0"/>
  </r>
  <r>
    <n v="153539322"/>
    <x v="63"/>
    <x v="201"/>
    <x v="0"/>
    <n v="39"/>
    <s v="month"/>
    <x v="137"/>
    <x v="1"/>
    <x v="0"/>
  </r>
  <r>
    <n v="160164472"/>
    <x v="63"/>
    <x v="202"/>
    <x v="0"/>
    <n v="39"/>
    <s v="month"/>
    <x v="158"/>
    <x v="1"/>
    <x v="0"/>
  </r>
  <r>
    <n v="160193644"/>
    <x v="63"/>
    <x v="150"/>
    <x v="0"/>
    <n v="39"/>
    <s v="month"/>
    <x v="39"/>
    <x v="1"/>
    <x v="0"/>
  </r>
  <r>
    <n v="156294098"/>
    <x v="63"/>
    <x v="199"/>
    <x v="0"/>
    <n v="39"/>
    <s v="month"/>
    <x v="72"/>
    <x v="1"/>
    <x v="0"/>
  </r>
  <r>
    <n v="146625866"/>
    <x v="63"/>
    <x v="203"/>
    <x v="0"/>
    <n v="39"/>
    <s v="month"/>
    <x v="134"/>
    <x v="1"/>
    <x v="0"/>
  </r>
  <r>
    <n v="157663870"/>
    <x v="64"/>
    <x v="131"/>
    <x v="0"/>
    <n v="39"/>
    <s v="month"/>
    <x v="1"/>
    <x v="2"/>
    <x v="0"/>
  </r>
  <r>
    <n v="159679042"/>
    <x v="64"/>
    <x v="131"/>
    <x v="1"/>
    <n v="39"/>
    <s v="month"/>
    <x v="1"/>
    <x v="2"/>
    <x v="0"/>
  </r>
  <r>
    <n v="160558904"/>
    <x v="64"/>
    <x v="194"/>
    <x v="0"/>
    <n v="39"/>
    <s v="month"/>
    <x v="159"/>
    <x v="2"/>
    <x v="0"/>
  </r>
  <r>
    <n v="127836197"/>
    <x v="64"/>
    <x v="144"/>
    <x v="0"/>
    <n v="39"/>
    <s v="month"/>
    <x v="11"/>
    <x v="2"/>
    <x v="0"/>
  </r>
  <r>
    <n v="155334332"/>
    <x v="64"/>
    <x v="113"/>
    <x v="0"/>
    <n v="39"/>
    <s v="month"/>
    <x v="72"/>
    <x v="2"/>
    <x v="0"/>
  </r>
  <r>
    <n v="160523170"/>
    <x v="64"/>
    <x v="36"/>
    <x v="0"/>
    <n v="39"/>
    <s v="month"/>
    <x v="14"/>
    <x v="2"/>
    <x v="0"/>
  </r>
  <r>
    <n v="156907890"/>
    <x v="64"/>
    <x v="144"/>
    <x v="0"/>
    <n v="39"/>
    <s v="month"/>
    <x v="11"/>
    <x v="2"/>
    <x v="0"/>
  </r>
  <r>
    <n v="160608516"/>
    <x v="64"/>
    <x v="204"/>
    <x v="0"/>
    <n v="39"/>
    <s v="month"/>
    <x v="160"/>
    <x v="2"/>
    <x v="0"/>
  </r>
  <r>
    <n v="113181220"/>
    <x v="64"/>
    <x v="205"/>
    <x v="0"/>
    <n v="39"/>
    <s v="month"/>
    <x v="41"/>
    <x v="2"/>
    <x v="0"/>
  </r>
  <r>
    <n v="159790393"/>
    <x v="65"/>
    <x v="206"/>
    <x v="0"/>
    <n v="39"/>
    <s v="month"/>
    <x v="106"/>
    <x v="3"/>
    <x v="0"/>
  </r>
  <r>
    <n v="147813476"/>
    <x v="65"/>
    <x v="175"/>
    <x v="0"/>
    <n v="39"/>
    <s v="month"/>
    <x v="33"/>
    <x v="3"/>
    <x v="0"/>
  </r>
  <r>
    <n v="156078158"/>
    <x v="65"/>
    <x v="84"/>
    <x v="0"/>
    <n v="39"/>
    <s v="month"/>
    <x v="159"/>
    <x v="3"/>
    <x v="0"/>
  </r>
  <r>
    <n v="154879898"/>
    <x v="65"/>
    <x v="116"/>
    <x v="0"/>
    <n v="39"/>
    <s v="month"/>
    <x v="125"/>
    <x v="3"/>
    <x v="0"/>
  </r>
  <r>
    <n v="136157937"/>
    <x v="65"/>
    <x v="207"/>
    <x v="0"/>
    <n v="39"/>
    <s v="month"/>
    <x v="14"/>
    <x v="3"/>
    <x v="0"/>
  </r>
  <r>
    <n v="160176868"/>
    <x v="65"/>
    <x v="109"/>
    <x v="0"/>
    <n v="39"/>
    <s v="month"/>
    <x v="9"/>
    <x v="3"/>
    <x v="0"/>
  </r>
  <r>
    <n v="160622888"/>
    <x v="65"/>
    <x v="131"/>
    <x v="0"/>
    <n v="39"/>
    <s v="month"/>
    <x v="11"/>
    <x v="3"/>
    <x v="0"/>
  </r>
  <r>
    <n v="158736659"/>
    <x v="66"/>
    <x v="0"/>
    <x v="0"/>
    <n v="39"/>
    <s v="month"/>
    <x v="0"/>
    <x v="4"/>
    <x v="0"/>
  </r>
  <r>
    <n v="160813660"/>
    <x v="66"/>
    <x v="0"/>
    <x v="0"/>
    <n v="39"/>
    <s v="month"/>
    <x v="0"/>
    <x v="4"/>
    <x v="0"/>
  </r>
  <r>
    <n v="158524240"/>
    <x v="66"/>
    <x v="0"/>
    <x v="0"/>
    <n v="39"/>
    <s v="month"/>
    <x v="0"/>
    <x v="4"/>
    <x v="0"/>
  </r>
  <r>
    <n v="160702738"/>
    <x v="66"/>
    <x v="0"/>
    <x v="0"/>
    <n v="39"/>
    <s v="month"/>
    <x v="0"/>
    <x v="4"/>
    <x v="0"/>
  </r>
  <r>
    <n v="138919619"/>
    <x v="66"/>
    <x v="100"/>
    <x v="0"/>
    <n v="39"/>
    <s v="month"/>
    <x v="72"/>
    <x v="4"/>
    <x v="0"/>
  </r>
  <r>
    <n v="121571816"/>
    <x v="66"/>
    <x v="208"/>
    <x v="0"/>
    <n v="39"/>
    <s v="month"/>
    <x v="161"/>
    <x v="4"/>
    <x v="0"/>
  </r>
  <r>
    <n v="160623955"/>
    <x v="66"/>
    <x v="209"/>
    <x v="0"/>
    <n v="39"/>
    <s v="month"/>
    <x v="162"/>
    <x v="4"/>
    <x v="0"/>
  </r>
  <r>
    <n v="160010850"/>
    <x v="66"/>
    <x v="162"/>
    <x v="0"/>
    <n v="39"/>
    <s v="month"/>
    <x v="131"/>
    <x v="4"/>
    <x v="0"/>
  </r>
  <r>
    <n v="160823268"/>
    <x v="66"/>
    <x v="136"/>
    <x v="0"/>
    <n v="39"/>
    <s v="month"/>
    <x v="53"/>
    <x v="4"/>
    <x v="0"/>
  </r>
  <r>
    <n v="158992873"/>
    <x v="66"/>
    <x v="210"/>
    <x v="0"/>
    <n v="39"/>
    <s v="month"/>
    <x v="106"/>
    <x v="4"/>
    <x v="0"/>
  </r>
  <r>
    <n v="159878556"/>
    <x v="66"/>
    <x v="71"/>
    <x v="0"/>
    <n v="39"/>
    <s v="month"/>
    <x v="35"/>
    <x v="4"/>
    <x v="0"/>
  </r>
  <r>
    <n v="160833652"/>
    <x v="66"/>
    <x v="93"/>
    <x v="0"/>
    <n v="39"/>
    <s v="month"/>
    <x v="14"/>
    <x v="4"/>
    <x v="0"/>
  </r>
  <r>
    <n v="157663870"/>
    <x v="66"/>
    <x v="86"/>
    <x v="0"/>
    <n v="39"/>
    <s v="month"/>
    <x v="28"/>
    <x v="4"/>
    <x v="0"/>
  </r>
  <r>
    <n v="160615413"/>
    <x v="66"/>
    <x v="169"/>
    <x v="0"/>
    <n v="39"/>
    <s v="month"/>
    <x v="122"/>
    <x v="4"/>
    <x v="0"/>
  </r>
  <r>
    <n v="156207052"/>
    <x v="66"/>
    <x v="113"/>
    <x v="0"/>
    <n v="39"/>
    <s v="month"/>
    <x v="62"/>
    <x v="4"/>
    <x v="0"/>
  </r>
  <r>
    <n v="160103792"/>
    <x v="66"/>
    <x v="149"/>
    <x v="0"/>
    <n v="39"/>
    <s v="month"/>
    <x v="11"/>
    <x v="4"/>
    <x v="0"/>
  </r>
  <r>
    <n v="160969302"/>
    <x v="67"/>
    <x v="211"/>
    <x v="0"/>
    <n v="39"/>
    <s v="month"/>
    <x v="163"/>
    <x v="6"/>
    <x v="0"/>
  </r>
  <r>
    <n v="149648746"/>
    <x v="67"/>
    <x v="212"/>
    <x v="0"/>
    <n v="39"/>
    <s v="month"/>
    <x v="140"/>
    <x v="6"/>
    <x v="0"/>
  </r>
  <r>
    <n v="155643390"/>
    <x v="67"/>
    <x v="189"/>
    <x v="0"/>
    <n v="39"/>
    <s v="month"/>
    <x v="164"/>
    <x v="6"/>
    <x v="0"/>
  </r>
  <r>
    <n v="119294384"/>
    <x v="67"/>
    <x v="161"/>
    <x v="0"/>
    <n v="39"/>
    <s v="month"/>
    <x v="91"/>
    <x v="6"/>
    <x v="0"/>
  </r>
  <r>
    <n v="160171541"/>
    <x v="67"/>
    <x v="34"/>
    <x v="0"/>
    <n v="39"/>
    <s v="month"/>
    <x v="13"/>
    <x v="6"/>
    <x v="0"/>
  </r>
  <r>
    <n v="150569213"/>
    <x v="67"/>
    <x v="213"/>
    <x v="0"/>
    <n v="39"/>
    <s v="month"/>
    <x v="14"/>
    <x v="6"/>
    <x v="0"/>
  </r>
  <r>
    <n v="156710028"/>
    <x v="68"/>
    <x v="191"/>
    <x v="0"/>
    <n v="39"/>
    <s v="month"/>
    <x v="165"/>
    <x v="0"/>
    <x v="0"/>
  </r>
  <r>
    <n v="157670310"/>
    <x v="68"/>
    <x v="214"/>
    <x v="0"/>
    <n v="39"/>
    <s v="month"/>
    <x v="6"/>
    <x v="0"/>
    <x v="0"/>
  </r>
  <r>
    <n v="157091067"/>
    <x v="68"/>
    <x v="153"/>
    <x v="0"/>
    <n v="39"/>
    <s v="month"/>
    <x v="166"/>
    <x v="0"/>
    <x v="0"/>
  </r>
  <r>
    <n v="159639128"/>
    <x v="68"/>
    <x v="215"/>
    <x v="0"/>
    <n v="39"/>
    <s v="month"/>
    <x v="11"/>
    <x v="0"/>
    <x v="0"/>
  </r>
  <r>
    <n v="149728468"/>
    <x v="69"/>
    <x v="87"/>
    <x v="0"/>
    <n v="39"/>
    <s v="month"/>
    <x v="1"/>
    <x v="1"/>
    <x v="0"/>
  </r>
  <r>
    <n v="160714172"/>
    <x v="69"/>
    <x v="216"/>
    <x v="0"/>
    <n v="39"/>
    <s v="month"/>
    <x v="43"/>
    <x v="1"/>
    <x v="0"/>
  </r>
  <r>
    <n v="161464205"/>
    <x v="69"/>
    <x v="213"/>
    <x v="0"/>
    <n v="39"/>
    <s v="month"/>
    <x v="167"/>
    <x v="1"/>
    <x v="0"/>
  </r>
  <r>
    <n v="141084753"/>
    <x v="70"/>
    <x v="185"/>
    <x v="0"/>
    <n v="39"/>
    <s v="month"/>
    <x v="119"/>
    <x v="2"/>
    <x v="0"/>
  </r>
  <r>
    <n v="161768948"/>
    <x v="70"/>
    <x v="22"/>
    <x v="0"/>
    <n v="39"/>
    <s v="month"/>
    <x v="73"/>
    <x v="2"/>
    <x v="0"/>
  </r>
  <r>
    <n v="161692109"/>
    <x v="70"/>
    <x v="26"/>
    <x v="0"/>
    <n v="39"/>
    <s v="month"/>
    <x v="106"/>
    <x v="2"/>
    <x v="0"/>
  </r>
  <r>
    <n v="161424706"/>
    <x v="70"/>
    <x v="11"/>
    <x v="0"/>
    <n v="39"/>
    <s v="month"/>
    <x v="62"/>
    <x v="2"/>
    <x v="0"/>
  </r>
  <r>
    <n v="153186137"/>
    <x v="70"/>
    <x v="87"/>
    <x v="0"/>
    <n v="39"/>
    <s v="month"/>
    <x v="11"/>
    <x v="2"/>
    <x v="0"/>
  </r>
  <r>
    <n v="158906669"/>
    <x v="71"/>
    <x v="153"/>
    <x v="0"/>
    <n v="39"/>
    <s v="month"/>
    <x v="53"/>
    <x v="3"/>
    <x v="0"/>
  </r>
  <r>
    <n v="154085972"/>
    <x v="71"/>
    <x v="217"/>
    <x v="0"/>
    <n v="39"/>
    <s v="month"/>
    <x v="2"/>
    <x v="3"/>
    <x v="0"/>
  </r>
  <r>
    <n v="162409676"/>
    <x v="72"/>
    <x v="0"/>
    <x v="0"/>
    <n v="39"/>
    <s v="month"/>
    <x v="0"/>
    <x v="4"/>
    <x v="0"/>
  </r>
  <r>
    <n v="157438261"/>
    <x v="72"/>
    <x v="0"/>
    <x v="0"/>
    <n v="39"/>
    <s v="month"/>
    <x v="0"/>
    <x v="4"/>
    <x v="0"/>
  </r>
  <r>
    <n v="132579012"/>
    <x v="72"/>
    <x v="218"/>
    <x v="0"/>
    <n v="39"/>
    <s v="month"/>
    <x v="31"/>
    <x v="4"/>
    <x v="0"/>
  </r>
  <r>
    <n v="129140042"/>
    <x v="72"/>
    <x v="219"/>
    <x v="0"/>
    <n v="39"/>
    <s v="month"/>
    <x v="168"/>
    <x v="4"/>
    <x v="0"/>
  </r>
  <r>
    <n v="147100996"/>
    <x v="72"/>
    <x v="25"/>
    <x v="0"/>
    <n v="39"/>
    <s v="month"/>
    <x v="169"/>
    <x v="4"/>
    <x v="0"/>
  </r>
  <r>
    <n v="158437198"/>
    <x v="72"/>
    <x v="208"/>
    <x v="0"/>
    <n v="39"/>
    <s v="month"/>
    <x v="170"/>
    <x v="4"/>
    <x v="0"/>
  </r>
  <r>
    <n v="162343403"/>
    <x v="72"/>
    <x v="220"/>
    <x v="0"/>
    <n v="39"/>
    <s v="month"/>
    <x v="131"/>
    <x v="4"/>
    <x v="0"/>
  </r>
  <r>
    <n v="162218672"/>
    <x v="72"/>
    <x v="162"/>
    <x v="0"/>
    <n v="39"/>
    <s v="month"/>
    <x v="85"/>
    <x v="4"/>
    <x v="0"/>
  </r>
  <r>
    <n v="120738319"/>
    <x v="72"/>
    <x v="145"/>
    <x v="0"/>
    <n v="39"/>
    <s v="month"/>
    <x v="171"/>
    <x v="4"/>
    <x v="0"/>
  </r>
  <r>
    <n v="162147786"/>
    <x v="72"/>
    <x v="122"/>
    <x v="0"/>
    <n v="39"/>
    <s v="month"/>
    <x v="172"/>
    <x v="4"/>
    <x v="0"/>
  </r>
  <r>
    <n v="153165084"/>
    <x v="72"/>
    <x v="35"/>
    <x v="0"/>
    <n v="39"/>
    <s v="month"/>
    <x v="5"/>
    <x v="4"/>
    <x v="0"/>
  </r>
  <r>
    <n v="161815335"/>
    <x v="72"/>
    <x v="26"/>
    <x v="0"/>
    <n v="39"/>
    <s v="month"/>
    <x v="66"/>
    <x v="4"/>
    <x v="0"/>
  </r>
  <r>
    <n v="162294529"/>
    <x v="72"/>
    <x v="201"/>
    <x v="0"/>
    <n v="39"/>
    <s v="month"/>
    <x v="93"/>
    <x v="4"/>
    <x v="0"/>
  </r>
  <r>
    <n v="162176080"/>
    <x v="72"/>
    <x v="221"/>
    <x v="0"/>
    <n v="39"/>
    <s v="month"/>
    <x v="6"/>
    <x v="4"/>
    <x v="0"/>
  </r>
  <r>
    <n v="162412232"/>
    <x v="72"/>
    <x v="97"/>
    <x v="0"/>
    <n v="39"/>
    <s v="month"/>
    <x v="14"/>
    <x v="4"/>
    <x v="0"/>
  </r>
  <r>
    <n v="158575772"/>
    <x v="72"/>
    <x v="213"/>
    <x v="0"/>
    <n v="39"/>
    <s v="month"/>
    <x v="50"/>
    <x v="4"/>
    <x v="0"/>
  </r>
  <r>
    <n v="162247173"/>
    <x v="72"/>
    <x v="60"/>
    <x v="0"/>
    <n v="39"/>
    <s v="month"/>
    <x v="62"/>
    <x v="4"/>
    <x v="0"/>
  </r>
  <r>
    <n v="153630282"/>
    <x v="72"/>
    <x v="86"/>
    <x v="0"/>
    <n v="39"/>
    <s v="month"/>
    <x v="15"/>
    <x v="4"/>
    <x v="0"/>
  </r>
  <r>
    <n v="156699431"/>
    <x v="72"/>
    <x v="6"/>
    <x v="0"/>
    <n v="39"/>
    <s v="month"/>
    <x v="173"/>
    <x v="4"/>
    <x v="0"/>
  </r>
  <r>
    <n v="148018000"/>
    <x v="72"/>
    <x v="222"/>
    <x v="0"/>
    <n v="39"/>
    <s v="month"/>
    <x v="41"/>
    <x v="4"/>
    <x v="0"/>
  </r>
  <r>
    <n v="161623906"/>
    <x v="73"/>
    <x v="0"/>
    <x v="0"/>
    <n v="39"/>
    <s v="month"/>
    <x v="0"/>
    <x v="5"/>
    <x v="0"/>
  </r>
  <r>
    <n v="145664226"/>
    <x v="73"/>
    <x v="0"/>
    <x v="0"/>
    <n v="39"/>
    <s v="month"/>
    <x v="0"/>
    <x v="5"/>
    <x v="0"/>
  </r>
  <r>
    <n v="162529715"/>
    <x v="73"/>
    <x v="223"/>
    <x v="0"/>
    <n v="39"/>
    <s v="month"/>
    <x v="145"/>
    <x v="5"/>
    <x v="0"/>
  </r>
  <r>
    <n v="162581284"/>
    <x v="73"/>
    <x v="60"/>
    <x v="0"/>
    <n v="39"/>
    <s v="month"/>
    <x v="20"/>
    <x v="5"/>
    <x v="0"/>
  </r>
  <r>
    <n v="152655443"/>
    <x v="73"/>
    <x v="194"/>
    <x v="0"/>
    <n v="39"/>
    <s v="month"/>
    <x v="144"/>
    <x v="5"/>
    <x v="0"/>
  </r>
  <r>
    <n v="162443327"/>
    <x v="73"/>
    <x v="224"/>
    <x v="0"/>
    <n v="39"/>
    <s v="month"/>
    <x v="27"/>
    <x v="5"/>
    <x v="0"/>
  </r>
  <r>
    <n v="148348600"/>
    <x v="73"/>
    <x v="207"/>
    <x v="0"/>
    <n v="39"/>
    <s v="month"/>
    <x v="44"/>
    <x v="5"/>
    <x v="0"/>
  </r>
  <r>
    <n v="162992590"/>
    <x v="74"/>
    <x v="0"/>
    <x v="0"/>
    <n v="39"/>
    <s v="month"/>
    <x v="0"/>
    <x v="6"/>
    <x v="0"/>
  </r>
  <r>
    <n v="156633222"/>
    <x v="74"/>
    <x v="155"/>
    <x v="1"/>
    <n v="39"/>
    <s v="month"/>
    <x v="11"/>
    <x v="6"/>
    <x v="0"/>
  </r>
  <r>
    <n v="133595094"/>
    <x v="74"/>
    <x v="197"/>
    <x v="0"/>
    <n v="39"/>
    <s v="month"/>
    <x v="133"/>
    <x v="6"/>
    <x v="0"/>
  </r>
  <r>
    <n v="147770763"/>
    <x v="74"/>
    <x v="197"/>
    <x v="0"/>
    <n v="39"/>
    <s v="month"/>
    <x v="133"/>
    <x v="6"/>
    <x v="0"/>
  </r>
  <r>
    <n v="155370139"/>
    <x v="74"/>
    <x v="78"/>
    <x v="0"/>
    <n v="39"/>
    <s v="month"/>
    <x v="145"/>
    <x v="6"/>
    <x v="0"/>
  </r>
  <r>
    <n v="151890876"/>
    <x v="74"/>
    <x v="184"/>
    <x v="0"/>
    <n v="39"/>
    <s v="month"/>
    <x v="106"/>
    <x v="6"/>
    <x v="0"/>
  </r>
  <r>
    <n v="162920304"/>
    <x v="74"/>
    <x v="25"/>
    <x v="0"/>
    <n v="39"/>
    <s v="month"/>
    <x v="8"/>
    <x v="6"/>
    <x v="0"/>
  </r>
  <r>
    <n v="148838269"/>
    <x v="74"/>
    <x v="155"/>
    <x v="0"/>
    <n v="39"/>
    <s v="month"/>
    <x v="11"/>
    <x v="6"/>
    <x v="0"/>
  </r>
  <r>
    <n v="162913792"/>
    <x v="74"/>
    <x v="225"/>
    <x v="0"/>
    <n v="39"/>
    <s v="month"/>
    <x v="82"/>
    <x v="6"/>
    <x v="0"/>
  </r>
  <r>
    <n v="152316740"/>
    <x v="75"/>
    <x v="0"/>
    <x v="0"/>
    <n v="39"/>
    <s v="month"/>
    <x v="0"/>
    <x v="0"/>
    <x v="0"/>
  </r>
  <r>
    <n v="135480868"/>
    <x v="75"/>
    <x v="134"/>
    <x v="0"/>
    <n v="39"/>
    <s v="month"/>
    <x v="144"/>
    <x v="0"/>
    <x v="0"/>
  </r>
  <r>
    <n v="136315690"/>
    <x v="75"/>
    <x v="202"/>
    <x v="0"/>
    <n v="39"/>
    <s v="month"/>
    <x v="106"/>
    <x v="0"/>
    <x v="0"/>
  </r>
  <r>
    <n v="163224262"/>
    <x v="75"/>
    <x v="153"/>
    <x v="0"/>
    <n v="39"/>
    <s v="month"/>
    <x v="168"/>
    <x v="0"/>
    <x v="0"/>
  </r>
  <r>
    <n v="163330072"/>
    <x v="75"/>
    <x v="194"/>
    <x v="0"/>
    <n v="39"/>
    <s v="month"/>
    <x v="39"/>
    <x v="0"/>
    <x v="0"/>
  </r>
  <r>
    <n v="134646164"/>
    <x v="75"/>
    <x v="61"/>
    <x v="0"/>
    <n v="39"/>
    <s v="month"/>
    <x v="14"/>
    <x v="0"/>
    <x v="0"/>
  </r>
  <r>
    <n v="163282336"/>
    <x v="75"/>
    <x v="195"/>
    <x v="0"/>
    <n v="39"/>
    <s v="month"/>
    <x v="174"/>
    <x v="0"/>
    <x v="0"/>
  </r>
  <r>
    <n v="162490128"/>
    <x v="76"/>
    <x v="0"/>
    <x v="0"/>
    <n v="39"/>
    <s v="month"/>
    <x v="0"/>
    <x v="1"/>
    <x v="0"/>
  </r>
  <r>
    <n v="147122277"/>
    <x v="76"/>
    <x v="203"/>
    <x v="1"/>
    <n v="39"/>
    <s v="month"/>
    <x v="1"/>
    <x v="1"/>
    <x v="0"/>
  </r>
  <r>
    <n v="163623375"/>
    <x v="76"/>
    <x v="203"/>
    <x v="1"/>
    <n v="39"/>
    <s v="month"/>
    <x v="1"/>
    <x v="1"/>
    <x v="0"/>
  </r>
  <r>
    <n v="132918654"/>
    <x v="76"/>
    <x v="117"/>
    <x v="0"/>
    <n v="39"/>
    <s v="month"/>
    <x v="94"/>
    <x v="1"/>
    <x v="0"/>
  </r>
  <r>
    <n v="160601062"/>
    <x v="76"/>
    <x v="226"/>
    <x v="0"/>
    <n v="39"/>
    <s v="month"/>
    <x v="55"/>
    <x v="1"/>
    <x v="0"/>
  </r>
  <r>
    <n v="144573808"/>
    <x v="76"/>
    <x v="117"/>
    <x v="0"/>
    <n v="39"/>
    <s v="month"/>
    <x v="94"/>
    <x v="1"/>
    <x v="0"/>
  </r>
  <r>
    <n v="114435366"/>
    <x v="76"/>
    <x v="111"/>
    <x v="0"/>
    <n v="39"/>
    <s v="month"/>
    <x v="11"/>
    <x v="1"/>
    <x v="0"/>
  </r>
  <r>
    <n v="163399934"/>
    <x v="76"/>
    <x v="111"/>
    <x v="0"/>
    <n v="39"/>
    <s v="month"/>
    <x v="11"/>
    <x v="1"/>
    <x v="0"/>
  </r>
  <r>
    <n v="133599090"/>
    <x v="77"/>
    <x v="227"/>
    <x v="0"/>
    <n v="39"/>
    <s v="month"/>
    <x v="158"/>
    <x v="2"/>
    <x v="0"/>
  </r>
  <r>
    <n v="154767246"/>
    <x v="77"/>
    <x v="181"/>
    <x v="0"/>
    <n v="39"/>
    <s v="month"/>
    <x v="28"/>
    <x v="2"/>
    <x v="0"/>
  </r>
  <r>
    <n v="164085988"/>
    <x v="77"/>
    <x v="181"/>
    <x v="0"/>
    <n v="39"/>
    <s v="month"/>
    <x v="28"/>
    <x v="2"/>
    <x v="0"/>
  </r>
  <r>
    <n v="164255751"/>
    <x v="78"/>
    <x v="190"/>
    <x v="0"/>
    <n v="39"/>
    <s v="month"/>
    <x v="58"/>
    <x v="3"/>
    <x v="0"/>
  </r>
  <r>
    <n v="150663530"/>
    <x v="78"/>
    <x v="228"/>
    <x v="0"/>
    <n v="39"/>
    <s v="month"/>
    <x v="119"/>
    <x v="3"/>
    <x v="0"/>
  </r>
  <r>
    <n v="155333508"/>
    <x v="78"/>
    <x v="229"/>
    <x v="0"/>
    <n v="39"/>
    <s v="month"/>
    <x v="8"/>
    <x v="3"/>
    <x v="0"/>
  </r>
  <r>
    <n v="163178244"/>
    <x v="79"/>
    <x v="0"/>
    <x v="1"/>
    <n v="39"/>
    <s v="month"/>
    <x v="0"/>
    <x v="4"/>
    <x v="0"/>
  </r>
  <r>
    <n v="130245484"/>
    <x v="79"/>
    <x v="230"/>
    <x v="0"/>
    <n v="39"/>
    <s v="month"/>
    <x v="53"/>
    <x v="4"/>
    <x v="0"/>
  </r>
  <r>
    <n v="164578320"/>
    <x v="79"/>
    <x v="97"/>
    <x v="0"/>
    <n v="39"/>
    <s v="month"/>
    <x v="35"/>
    <x v="4"/>
    <x v="0"/>
  </r>
  <r>
    <n v="164542692"/>
    <x v="79"/>
    <x v="118"/>
    <x v="0"/>
    <n v="39"/>
    <s v="month"/>
    <x v="14"/>
    <x v="4"/>
    <x v="0"/>
  </r>
  <r>
    <n v="164087136"/>
    <x v="80"/>
    <x v="0"/>
    <x v="0"/>
    <n v="39"/>
    <s v="month"/>
    <x v="0"/>
    <x v="5"/>
    <x v="0"/>
  </r>
  <r>
    <n v="155414052"/>
    <x v="80"/>
    <x v="6"/>
    <x v="1"/>
    <n v="39"/>
    <s v="month"/>
    <x v="1"/>
    <x v="5"/>
    <x v="0"/>
  </r>
  <r>
    <n v="152253972"/>
    <x v="80"/>
    <x v="231"/>
    <x v="0"/>
    <n v="39"/>
    <s v="month"/>
    <x v="145"/>
    <x v="5"/>
    <x v="0"/>
  </r>
  <r>
    <n v="152754329"/>
    <x v="80"/>
    <x v="115"/>
    <x v="0"/>
    <n v="39"/>
    <s v="month"/>
    <x v="169"/>
    <x v="5"/>
    <x v="0"/>
  </r>
  <r>
    <n v="159724071"/>
    <x v="81"/>
    <x v="229"/>
    <x v="0"/>
    <n v="39"/>
    <s v="month"/>
    <x v="110"/>
    <x v="6"/>
    <x v="0"/>
  </r>
  <r>
    <n v="165164673"/>
    <x v="81"/>
    <x v="5"/>
    <x v="0"/>
    <n v="39"/>
    <s v="month"/>
    <x v="175"/>
    <x v="6"/>
    <x v="0"/>
  </r>
  <r>
    <n v="165529460"/>
    <x v="82"/>
    <x v="141"/>
    <x v="0"/>
    <n v="39"/>
    <s v="month"/>
    <x v="141"/>
    <x v="0"/>
    <x v="0"/>
  </r>
  <r>
    <n v="163362190"/>
    <x v="83"/>
    <x v="0"/>
    <x v="0"/>
    <n v="39"/>
    <s v="month"/>
    <x v="0"/>
    <x v="1"/>
    <x v="0"/>
  </r>
  <r>
    <n v="155810350"/>
    <x v="83"/>
    <x v="80"/>
    <x v="0"/>
    <n v="39"/>
    <s v="month"/>
    <x v="62"/>
    <x v="1"/>
    <x v="0"/>
  </r>
  <r>
    <n v="161793136"/>
    <x v="83"/>
    <x v="232"/>
    <x v="0"/>
    <n v="39"/>
    <s v="month"/>
    <x v="176"/>
    <x v="1"/>
    <x v="0"/>
  </r>
  <r>
    <n v="159255776"/>
    <x v="83"/>
    <x v="233"/>
    <x v="0"/>
    <n v="39"/>
    <s v="month"/>
    <x v="101"/>
    <x v="1"/>
    <x v="0"/>
  </r>
  <r>
    <n v="165807144"/>
    <x v="83"/>
    <x v="214"/>
    <x v="0"/>
    <n v="39"/>
    <s v="month"/>
    <x v="39"/>
    <x v="1"/>
    <x v="0"/>
  </r>
  <r>
    <n v="165788743"/>
    <x v="83"/>
    <x v="198"/>
    <x v="0"/>
    <n v="39"/>
    <s v="month"/>
    <x v="93"/>
    <x v="1"/>
    <x v="0"/>
  </r>
  <r>
    <n v="162513776"/>
    <x v="83"/>
    <x v="143"/>
    <x v="0"/>
    <n v="39"/>
    <s v="month"/>
    <x v="177"/>
    <x v="1"/>
    <x v="0"/>
  </r>
  <r>
    <n v="161841028"/>
    <x v="83"/>
    <x v="84"/>
    <x v="0"/>
    <n v="39"/>
    <s v="month"/>
    <x v="94"/>
    <x v="1"/>
    <x v="0"/>
  </r>
  <r>
    <n v="160597612"/>
    <x v="83"/>
    <x v="60"/>
    <x v="0"/>
    <n v="39"/>
    <s v="month"/>
    <x v="178"/>
    <x v="1"/>
    <x v="0"/>
  </r>
  <r>
    <n v="165937140"/>
    <x v="84"/>
    <x v="234"/>
    <x v="1"/>
    <n v="39"/>
    <s v="month"/>
    <x v="1"/>
    <x v="2"/>
    <x v="0"/>
  </r>
  <r>
    <n v="165613975"/>
    <x v="84"/>
    <x v="235"/>
    <x v="0"/>
    <n v="39"/>
    <s v="month"/>
    <x v="112"/>
    <x v="2"/>
    <x v="0"/>
  </r>
  <r>
    <n v="164662173"/>
    <x v="84"/>
    <x v="134"/>
    <x v="0"/>
    <n v="39"/>
    <s v="month"/>
    <x v="94"/>
    <x v="2"/>
    <x v="0"/>
  </r>
  <r>
    <n v="162411394"/>
    <x v="84"/>
    <x v="166"/>
    <x v="0"/>
    <n v="39"/>
    <s v="month"/>
    <x v="179"/>
    <x v="2"/>
    <x v="0"/>
  </r>
  <r>
    <n v="121439836"/>
    <x v="85"/>
    <x v="0"/>
    <x v="0"/>
    <n v="39"/>
    <s v="month"/>
    <x v="0"/>
    <x v="3"/>
    <x v="0"/>
  </r>
  <r>
    <n v="157353623"/>
    <x v="85"/>
    <x v="234"/>
    <x v="1"/>
    <n v="39"/>
    <s v="month"/>
    <x v="11"/>
    <x v="3"/>
    <x v="0"/>
  </r>
  <r>
    <n v="165953219"/>
    <x v="85"/>
    <x v="34"/>
    <x v="0"/>
    <n v="39"/>
    <s v="month"/>
    <x v="14"/>
    <x v="3"/>
    <x v="0"/>
  </r>
  <r>
    <n v="154710805"/>
    <x v="86"/>
    <x v="0"/>
    <x v="0"/>
    <n v="39"/>
    <s v="month"/>
    <x v="0"/>
    <x v="4"/>
    <x v="0"/>
  </r>
  <r>
    <n v="164084318"/>
    <x v="86"/>
    <x v="0"/>
    <x v="0"/>
    <n v="39"/>
    <s v="month"/>
    <x v="0"/>
    <x v="4"/>
    <x v="0"/>
  </r>
  <r>
    <n v="160043327"/>
    <x v="86"/>
    <x v="130"/>
    <x v="1"/>
    <n v="39"/>
    <s v="month"/>
    <x v="1"/>
    <x v="4"/>
    <x v="0"/>
  </r>
  <r>
    <n v="131166579"/>
    <x v="86"/>
    <x v="166"/>
    <x v="0"/>
    <n v="39"/>
    <s v="month"/>
    <x v="14"/>
    <x v="4"/>
    <x v="0"/>
  </r>
  <r>
    <n v="166109726"/>
    <x v="86"/>
    <x v="224"/>
    <x v="0"/>
    <n v="39"/>
    <s v="month"/>
    <x v="19"/>
    <x v="4"/>
    <x v="0"/>
  </r>
  <r>
    <n v="155446081"/>
    <x v="86"/>
    <x v="133"/>
    <x v="0"/>
    <n v="39"/>
    <s v="month"/>
    <x v="36"/>
    <x v="4"/>
    <x v="0"/>
  </r>
  <r>
    <n v="166342075"/>
    <x v="86"/>
    <x v="118"/>
    <x v="0"/>
    <n v="39"/>
    <s v="month"/>
    <x v="35"/>
    <x v="4"/>
    <x v="0"/>
  </r>
  <r>
    <n v="154063985"/>
    <x v="86"/>
    <x v="236"/>
    <x v="0"/>
    <n v="39"/>
    <s v="month"/>
    <x v="4"/>
    <x v="4"/>
    <x v="0"/>
  </r>
  <r>
    <n v="164141888"/>
    <x v="87"/>
    <x v="0"/>
    <x v="0"/>
    <n v="39"/>
    <s v="month"/>
    <x v="0"/>
    <x v="5"/>
    <x v="0"/>
  </r>
  <r>
    <n v="165244044"/>
    <x v="87"/>
    <x v="237"/>
    <x v="0"/>
    <n v="39"/>
    <s v="month"/>
    <x v="180"/>
    <x v="5"/>
    <x v="0"/>
  </r>
  <r>
    <n v="136149379"/>
    <x v="87"/>
    <x v="146"/>
    <x v="0"/>
    <n v="39"/>
    <s v="month"/>
    <x v="121"/>
    <x v="5"/>
    <x v="0"/>
  </r>
  <r>
    <n v="158227426"/>
    <x v="87"/>
    <x v="50"/>
    <x v="0"/>
    <n v="39"/>
    <s v="month"/>
    <x v="77"/>
    <x v="5"/>
    <x v="0"/>
  </r>
  <r>
    <n v="166366125"/>
    <x v="87"/>
    <x v="162"/>
    <x v="0"/>
    <n v="39"/>
    <s v="month"/>
    <x v="181"/>
    <x v="5"/>
    <x v="0"/>
  </r>
  <r>
    <n v="166753946"/>
    <x v="87"/>
    <x v="221"/>
    <x v="0"/>
    <n v="39"/>
    <s v="month"/>
    <x v="39"/>
    <x v="5"/>
    <x v="0"/>
  </r>
  <r>
    <n v="157883110"/>
    <x v="87"/>
    <x v="115"/>
    <x v="0"/>
    <n v="39"/>
    <s v="month"/>
    <x v="13"/>
    <x v="5"/>
    <x v="0"/>
  </r>
  <r>
    <n v="138475621"/>
    <x v="87"/>
    <x v="164"/>
    <x v="0"/>
    <n v="39"/>
    <s v="month"/>
    <x v="178"/>
    <x v="5"/>
    <x v="0"/>
  </r>
  <r>
    <n v="166529240"/>
    <x v="88"/>
    <x v="0"/>
    <x v="0"/>
    <n v="39"/>
    <s v="month"/>
    <x v="0"/>
    <x v="6"/>
    <x v="0"/>
  </r>
  <r>
    <n v="125828506"/>
    <x v="88"/>
    <x v="210"/>
    <x v="0"/>
    <n v="39"/>
    <s v="month"/>
    <x v="83"/>
    <x v="6"/>
    <x v="0"/>
  </r>
  <r>
    <n v="148869381"/>
    <x v="88"/>
    <x v="192"/>
    <x v="0"/>
    <n v="39"/>
    <s v="month"/>
    <x v="169"/>
    <x v="6"/>
    <x v="0"/>
  </r>
  <r>
    <n v="134825962"/>
    <x v="88"/>
    <x v="133"/>
    <x v="0"/>
    <n v="39"/>
    <s v="month"/>
    <x v="50"/>
    <x v="6"/>
    <x v="0"/>
  </r>
  <r>
    <n v="151163143"/>
    <x v="88"/>
    <x v="129"/>
    <x v="0"/>
    <n v="39"/>
    <s v="month"/>
    <x v="14"/>
    <x v="6"/>
    <x v="0"/>
  </r>
  <r>
    <n v="156111982"/>
    <x v="88"/>
    <x v="238"/>
    <x v="0"/>
    <n v="39"/>
    <s v="month"/>
    <x v="182"/>
    <x v="6"/>
    <x v="0"/>
  </r>
  <r>
    <n v="166546201"/>
    <x v="88"/>
    <x v="60"/>
    <x v="0"/>
    <n v="39"/>
    <s v="month"/>
    <x v="125"/>
    <x v="6"/>
    <x v="0"/>
  </r>
  <r>
    <n v="162126074"/>
    <x v="89"/>
    <x v="0"/>
    <x v="0"/>
    <n v="39"/>
    <s v="month"/>
    <x v="0"/>
    <x v="0"/>
    <x v="0"/>
  </r>
  <r>
    <n v="162640429"/>
    <x v="89"/>
    <x v="0"/>
    <x v="0"/>
    <n v="39"/>
    <s v="month"/>
    <x v="0"/>
    <x v="0"/>
    <x v="0"/>
  </r>
  <r>
    <n v="164413682"/>
    <x v="89"/>
    <x v="0"/>
    <x v="0"/>
    <n v="39"/>
    <s v="month"/>
    <x v="0"/>
    <x v="0"/>
    <x v="0"/>
  </r>
  <r>
    <n v="162850052"/>
    <x v="89"/>
    <x v="0"/>
    <x v="0"/>
    <n v="39"/>
    <s v="month"/>
    <x v="0"/>
    <x v="0"/>
    <x v="0"/>
  </r>
  <r>
    <n v="162177746"/>
    <x v="89"/>
    <x v="123"/>
    <x v="0"/>
    <n v="39"/>
    <s v="month"/>
    <x v="44"/>
    <x v="0"/>
    <x v="0"/>
  </r>
  <r>
    <n v="135587508"/>
    <x v="89"/>
    <x v="219"/>
    <x v="0"/>
    <n v="39"/>
    <s v="month"/>
    <x v="144"/>
    <x v="0"/>
    <x v="0"/>
  </r>
  <r>
    <n v="161428649"/>
    <x v="89"/>
    <x v="239"/>
    <x v="0"/>
    <n v="39"/>
    <s v="month"/>
    <x v="154"/>
    <x v="0"/>
    <x v="0"/>
  </r>
  <r>
    <n v="166977144"/>
    <x v="89"/>
    <x v="239"/>
    <x v="0"/>
    <n v="39"/>
    <s v="month"/>
    <x v="154"/>
    <x v="0"/>
    <x v="0"/>
  </r>
  <r>
    <n v="161640666"/>
    <x v="89"/>
    <x v="50"/>
    <x v="0"/>
    <n v="39"/>
    <s v="month"/>
    <x v="97"/>
    <x v="0"/>
    <x v="0"/>
  </r>
  <r>
    <n v="165932696"/>
    <x v="89"/>
    <x v="50"/>
    <x v="0"/>
    <n v="39"/>
    <s v="month"/>
    <x v="97"/>
    <x v="0"/>
    <x v="0"/>
  </r>
  <r>
    <n v="165204032"/>
    <x v="89"/>
    <x v="210"/>
    <x v="0"/>
    <n v="39"/>
    <s v="month"/>
    <x v="38"/>
    <x v="0"/>
    <x v="0"/>
  </r>
  <r>
    <n v="162469903"/>
    <x v="89"/>
    <x v="35"/>
    <x v="0"/>
    <n v="39"/>
    <s v="month"/>
    <x v="88"/>
    <x v="0"/>
    <x v="0"/>
  </r>
  <r>
    <n v="166515564"/>
    <x v="89"/>
    <x v="229"/>
    <x v="0"/>
    <n v="39"/>
    <s v="month"/>
    <x v="78"/>
    <x v="0"/>
    <x v="0"/>
  </r>
  <r>
    <n v="139323228"/>
    <x v="89"/>
    <x v="194"/>
    <x v="0"/>
    <n v="39"/>
    <s v="month"/>
    <x v="7"/>
    <x v="0"/>
    <x v="0"/>
  </r>
  <r>
    <n v="162569750"/>
    <x v="89"/>
    <x v="113"/>
    <x v="0"/>
    <n v="39"/>
    <s v="month"/>
    <x v="175"/>
    <x v="0"/>
    <x v="0"/>
  </r>
  <r>
    <n v="165959602"/>
    <x v="89"/>
    <x v="238"/>
    <x v="0"/>
    <n v="39"/>
    <s v="month"/>
    <x v="2"/>
    <x v="0"/>
    <x v="0"/>
  </r>
  <r>
    <n v="160968524"/>
    <x v="89"/>
    <x v="240"/>
    <x v="0"/>
    <n v="39"/>
    <s v="month"/>
    <x v="76"/>
    <x v="0"/>
    <x v="0"/>
  </r>
  <r>
    <n v="163258260"/>
    <x v="90"/>
    <x v="0"/>
    <x v="0"/>
    <n v="39"/>
    <s v="month"/>
    <x v="0"/>
    <x v="1"/>
    <x v="0"/>
  </r>
  <r>
    <n v="167051046"/>
    <x v="90"/>
    <x v="0"/>
    <x v="0"/>
    <n v="39"/>
    <s v="month"/>
    <x v="0"/>
    <x v="1"/>
    <x v="0"/>
  </r>
  <r>
    <n v="161182367"/>
    <x v="90"/>
    <x v="199"/>
    <x v="0"/>
    <n v="39"/>
    <s v="month"/>
    <x v="1"/>
    <x v="1"/>
    <x v="0"/>
  </r>
  <r>
    <n v="167292985"/>
    <x v="90"/>
    <x v="199"/>
    <x v="1"/>
    <n v="39"/>
    <s v="month"/>
    <x v="1"/>
    <x v="1"/>
    <x v="0"/>
  </r>
  <r>
    <n v="166183014"/>
    <x v="90"/>
    <x v="199"/>
    <x v="1"/>
    <n v="39"/>
    <s v="month"/>
    <x v="1"/>
    <x v="1"/>
    <x v="0"/>
  </r>
  <r>
    <n v="165143920"/>
    <x v="90"/>
    <x v="212"/>
    <x v="0"/>
    <n v="39"/>
    <s v="month"/>
    <x v="183"/>
    <x v="1"/>
    <x v="0"/>
  </r>
  <r>
    <n v="165958089"/>
    <x v="90"/>
    <x v="219"/>
    <x v="0"/>
    <n v="39"/>
    <s v="month"/>
    <x v="88"/>
    <x v="1"/>
    <x v="0"/>
  </r>
  <r>
    <n v="165431576"/>
    <x v="90"/>
    <x v="214"/>
    <x v="0"/>
    <n v="39"/>
    <s v="month"/>
    <x v="94"/>
    <x v="1"/>
    <x v="0"/>
  </r>
  <r>
    <n v="163708513"/>
    <x v="90"/>
    <x v="167"/>
    <x v="0"/>
    <n v="39"/>
    <s v="month"/>
    <x v="44"/>
    <x v="1"/>
    <x v="0"/>
  </r>
  <r>
    <n v="164521419"/>
    <x v="90"/>
    <x v="123"/>
    <x v="0"/>
    <n v="39"/>
    <s v="month"/>
    <x v="62"/>
    <x v="1"/>
    <x v="0"/>
  </r>
  <r>
    <n v="166257164"/>
    <x v="90"/>
    <x v="97"/>
    <x v="0"/>
    <n v="39"/>
    <s v="month"/>
    <x v="184"/>
    <x v="1"/>
    <x v="0"/>
  </r>
  <r>
    <n v="121348156"/>
    <x v="90"/>
    <x v="100"/>
    <x v="0"/>
    <n v="39"/>
    <s v="month"/>
    <x v="37"/>
    <x v="1"/>
    <x v="0"/>
  </r>
  <r>
    <n v="167280894"/>
    <x v="90"/>
    <x v="241"/>
    <x v="0"/>
    <n v="39"/>
    <s v="month"/>
    <x v="185"/>
    <x v="1"/>
    <x v="0"/>
  </r>
  <r>
    <n v="160980795"/>
    <x v="91"/>
    <x v="0"/>
    <x v="0"/>
    <n v="39"/>
    <s v="month"/>
    <x v="0"/>
    <x v="2"/>
    <x v="0"/>
  </r>
  <r>
    <n v="167544686"/>
    <x v="91"/>
    <x v="0"/>
    <x v="0"/>
    <n v="39"/>
    <s v="month"/>
    <x v="0"/>
    <x v="2"/>
    <x v="0"/>
  </r>
  <r>
    <n v="161968719"/>
    <x v="91"/>
    <x v="0"/>
    <x v="0"/>
    <n v="39"/>
    <s v="month"/>
    <x v="0"/>
    <x v="2"/>
    <x v="0"/>
  </r>
  <r>
    <n v="159070152"/>
    <x v="91"/>
    <x v="0"/>
    <x v="0"/>
    <n v="39"/>
    <s v="month"/>
    <x v="0"/>
    <x v="2"/>
    <x v="0"/>
  </r>
  <r>
    <n v="167445788"/>
    <x v="91"/>
    <x v="113"/>
    <x v="1"/>
    <n v="39"/>
    <s v="month"/>
    <x v="1"/>
    <x v="2"/>
    <x v="0"/>
  </r>
  <r>
    <n v="167441263"/>
    <x v="91"/>
    <x v="157"/>
    <x v="0"/>
    <n v="39"/>
    <s v="month"/>
    <x v="29"/>
    <x v="2"/>
    <x v="0"/>
  </r>
  <r>
    <n v="167586100"/>
    <x v="91"/>
    <x v="161"/>
    <x v="0"/>
    <n v="39"/>
    <s v="month"/>
    <x v="75"/>
    <x v="2"/>
    <x v="0"/>
  </r>
  <r>
    <n v="139789436"/>
    <x v="91"/>
    <x v="242"/>
    <x v="0"/>
    <n v="39"/>
    <s v="month"/>
    <x v="110"/>
    <x v="2"/>
    <x v="0"/>
  </r>
  <r>
    <n v="116319450"/>
    <x v="92"/>
    <x v="185"/>
    <x v="0"/>
    <n v="39"/>
    <s v="month"/>
    <x v="186"/>
    <x v="3"/>
    <x v="0"/>
  </r>
  <r>
    <n v="162939264"/>
    <x v="92"/>
    <x v="243"/>
    <x v="0"/>
    <n v="39"/>
    <s v="month"/>
    <x v="172"/>
    <x v="3"/>
    <x v="0"/>
  </r>
  <r>
    <n v="167711417"/>
    <x v="92"/>
    <x v="120"/>
    <x v="0"/>
    <n v="39"/>
    <s v="month"/>
    <x v="65"/>
    <x v="3"/>
    <x v="0"/>
  </r>
  <r>
    <n v="157381517"/>
    <x v="93"/>
    <x v="0"/>
    <x v="0"/>
    <n v="39"/>
    <s v="month"/>
    <x v="0"/>
    <x v="4"/>
    <x v="0"/>
  </r>
  <r>
    <n v="162912102"/>
    <x v="93"/>
    <x v="100"/>
    <x v="0"/>
    <n v="39"/>
    <s v="month"/>
    <x v="1"/>
    <x v="4"/>
    <x v="0"/>
  </r>
  <r>
    <n v="167833210"/>
    <x v="93"/>
    <x v="244"/>
    <x v="0"/>
    <n v="39"/>
    <s v="month"/>
    <x v="16"/>
    <x v="4"/>
    <x v="0"/>
  </r>
  <r>
    <n v="165676999"/>
    <x v="93"/>
    <x v="221"/>
    <x v="0"/>
    <n v="39"/>
    <s v="month"/>
    <x v="169"/>
    <x v="4"/>
    <x v="0"/>
  </r>
  <r>
    <n v="167253106"/>
    <x v="93"/>
    <x v="136"/>
    <x v="0"/>
    <n v="39"/>
    <s v="month"/>
    <x v="117"/>
    <x v="4"/>
    <x v="0"/>
  </r>
  <r>
    <n v="168022972"/>
    <x v="93"/>
    <x v="245"/>
    <x v="0"/>
    <n v="39"/>
    <s v="month"/>
    <x v="179"/>
    <x v="4"/>
    <x v="0"/>
  </r>
  <r>
    <n v="167315920"/>
    <x v="93"/>
    <x v="79"/>
    <x v="0"/>
    <n v="39"/>
    <s v="month"/>
    <x v="28"/>
    <x v="4"/>
    <x v="0"/>
  </r>
  <r>
    <n v="167928962"/>
    <x v="93"/>
    <x v="123"/>
    <x v="0"/>
    <n v="39"/>
    <s v="month"/>
    <x v="15"/>
    <x v="4"/>
    <x v="0"/>
  </r>
  <r>
    <n v="166211741"/>
    <x v="94"/>
    <x v="246"/>
    <x v="0"/>
    <n v="39"/>
    <s v="month"/>
    <x v="104"/>
    <x v="5"/>
    <x v="0"/>
  </r>
  <r>
    <n v="161450418"/>
    <x v="94"/>
    <x v="243"/>
    <x v="0"/>
    <n v="39"/>
    <s v="month"/>
    <x v="128"/>
    <x v="5"/>
    <x v="0"/>
  </r>
  <r>
    <n v="144961802"/>
    <x v="94"/>
    <x v="161"/>
    <x v="0"/>
    <n v="39"/>
    <s v="month"/>
    <x v="5"/>
    <x v="5"/>
    <x v="0"/>
  </r>
  <r>
    <n v="168137404"/>
    <x v="94"/>
    <x v="214"/>
    <x v="0"/>
    <n v="39"/>
    <s v="month"/>
    <x v="110"/>
    <x v="5"/>
    <x v="0"/>
  </r>
  <r>
    <n v="153441732"/>
    <x v="94"/>
    <x v="206"/>
    <x v="0"/>
    <n v="39"/>
    <s v="month"/>
    <x v="88"/>
    <x v="5"/>
    <x v="0"/>
  </r>
  <r>
    <n v="167649041"/>
    <x v="94"/>
    <x v="192"/>
    <x v="0"/>
    <n v="39"/>
    <s v="month"/>
    <x v="109"/>
    <x v="5"/>
    <x v="0"/>
  </r>
  <r>
    <n v="168089746"/>
    <x v="94"/>
    <x v="245"/>
    <x v="0"/>
    <n v="39"/>
    <s v="month"/>
    <x v="87"/>
    <x v="5"/>
    <x v="0"/>
  </r>
  <r>
    <n v="158177274"/>
    <x v="94"/>
    <x v="134"/>
    <x v="0"/>
    <n v="39"/>
    <s v="month"/>
    <x v="187"/>
    <x v="5"/>
    <x v="0"/>
  </r>
  <r>
    <n v="168061628"/>
    <x v="94"/>
    <x v="245"/>
    <x v="0"/>
    <n v="39"/>
    <s v="month"/>
    <x v="87"/>
    <x v="5"/>
    <x v="0"/>
  </r>
  <r>
    <n v="168436401"/>
    <x v="95"/>
    <x v="0"/>
    <x v="0"/>
    <n v="39"/>
    <s v="month"/>
    <x v="0"/>
    <x v="6"/>
    <x v="0"/>
  </r>
  <r>
    <n v="126770376"/>
    <x v="95"/>
    <x v="183"/>
    <x v="0"/>
    <n v="39"/>
    <s v="month"/>
    <x v="20"/>
    <x v="6"/>
    <x v="0"/>
  </r>
  <r>
    <n v="153468957"/>
    <x v="95"/>
    <x v="210"/>
    <x v="0"/>
    <n v="39"/>
    <s v="month"/>
    <x v="88"/>
    <x v="6"/>
    <x v="0"/>
  </r>
  <r>
    <n v="168336474"/>
    <x v="95"/>
    <x v="188"/>
    <x v="0"/>
    <n v="39"/>
    <s v="month"/>
    <x v="33"/>
    <x v="6"/>
    <x v="0"/>
  </r>
  <r>
    <n v="166929423"/>
    <x v="95"/>
    <x v="118"/>
    <x v="0"/>
    <n v="39"/>
    <s v="month"/>
    <x v="86"/>
    <x v="6"/>
    <x v="0"/>
  </r>
  <r>
    <n v="163990458"/>
    <x v="95"/>
    <x v="80"/>
    <x v="0"/>
    <n v="39"/>
    <s v="month"/>
    <x v="134"/>
    <x v="6"/>
    <x v="0"/>
  </r>
  <r>
    <n v="166411463"/>
    <x v="96"/>
    <x v="0"/>
    <x v="0"/>
    <n v="39"/>
    <s v="month"/>
    <x v="0"/>
    <x v="0"/>
    <x v="0"/>
  </r>
  <r>
    <n v="168433088"/>
    <x v="96"/>
    <x v="0"/>
    <x v="0"/>
    <n v="39"/>
    <s v="month"/>
    <x v="0"/>
    <x v="0"/>
    <x v="0"/>
  </r>
  <r>
    <n v="155426075"/>
    <x v="96"/>
    <x v="0"/>
    <x v="0"/>
    <n v="39"/>
    <s v="month"/>
    <x v="0"/>
    <x v="0"/>
    <x v="0"/>
  </r>
  <r>
    <n v="168555694"/>
    <x v="96"/>
    <x v="11"/>
    <x v="1"/>
    <n v="39"/>
    <s v="month"/>
    <x v="1"/>
    <x v="0"/>
    <x v="0"/>
  </r>
  <r>
    <n v="162912102"/>
    <x v="96"/>
    <x v="237"/>
    <x v="0"/>
    <n v="39"/>
    <s v="month"/>
    <x v="119"/>
    <x v="0"/>
    <x v="0"/>
  </r>
  <r>
    <n v="168471192"/>
    <x v="96"/>
    <x v="247"/>
    <x v="0"/>
    <n v="39"/>
    <s v="month"/>
    <x v="110"/>
    <x v="0"/>
    <x v="0"/>
  </r>
  <r>
    <n v="168825734"/>
    <x v="96"/>
    <x v="25"/>
    <x v="0"/>
    <n v="39"/>
    <s v="month"/>
    <x v="87"/>
    <x v="0"/>
    <x v="0"/>
  </r>
  <r>
    <n v="163852568"/>
    <x v="96"/>
    <x v="36"/>
    <x v="0"/>
    <n v="39"/>
    <s v="month"/>
    <x v="37"/>
    <x v="0"/>
    <x v="0"/>
  </r>
  <r>
    <n v="168460834"/>
    <x v="96"/>
    <x v="163"/>
    <x v="0"/>
    <n v="39"/>
    <s v="month"/>
    <x v="184"/>
    <x v="0"/>
    <x v="0"/>
  </r>
  <r>
    <n v="169085351"/>
    <x v="97"/>
    <x v="209"/>
    <x v="0"/>
    <n v="39"/>
    <s v="month"/>
    <x v="188"/>
    <x v="1"/>
    <x v="0"/>
  </r>
  <r>
    <n v="168456070"/>
    <x v="97"/>
    <x v="248"/>
    <x v="0"/>
    <n v="39"/>
    <s v="month"/>
    <x v="189"/>
    <x v="1"/>
    <x v="0"/>
  </r>
  <r>
    <n v="168900021"/>
    <x v="97"/>
    <x v="136"/>
    <x v="0"/>
    <n v="39"/>
    <s v="month"/>
    <x v="26"/>
    <x v="1"/>
    <x v="0"/>
  </r>
  <r>
    <n v="169113748"/>
    <x v="97"/>
    <x v="245"/>
    <x v="0"/>
    <n v="39"/>
    <s v="month"/>
    <x v="167"/>
    <x v="1"/>
    <x v="0"/>
  </r>
  <r>
    <n v="162193491"/>
    <x v="97"/>
    <x v="139"/>
    <x v="0"/>
    <n v="39"/>
    <s v="month"/>
    <x v="190"/>
    <x v="1"/>
    <x v="0"/>
  </r>
  <r>
    <n v="167761722"/>
    <x v="97"/>
    <x v="249"/>
    <x v="0"/>
    <n v="39"/>
    <s v="month"/>
    <x v="17"/>
    <x v="1"/>
    <x v="0"/>
  </r>
  <r>
    <n v="169244937"/>
    <x v="98"/>
    <x v="250"/>
    <x v="0"/>
    <n v="39"/>
    <s v="month"/>
    <x v="46"/>
    <x v="2"/>
    <x v="0"/>
  </r>
  <r>
    <n v="167923504"/>
    <x v="98"/>
    <x v="35"/>
    <x v="0"/>
    <n v="39"/>
    <s v="month"/>
    <x v="8"/>
    <x v="2"/>
    <x v="0"/>
  </r>
  <r>
    <n v="167459469"/>
    <x v="98"/>
    <x v="83"/>
    <x v="0"/>
    <n v="39"/>
    <s v="month"/>
    <x v="167"/>
    <x v="2"/>
    <x v="0"/>
  </r>
  <r>
    <n v="123169152"/>
    <x v="98"/>
    <x v="34"/>
    <x v="0"/>
    <n v="39"/>
    <s v="month"/>
    <x v="15"/>
    <x v="2"/>
    <x v="0"/>
  </r>
  <r>
    <n v="153157541"/>
    <x v="99"/>
    <x v="0"/>
    <x v="0"/>
    <n v="39"/>
    <s v="month"/>
    <x v="0"/>
    <x v="3"/>
    <x v="0"/>
  </r>
  <r>
    <n v="169133180"/>
    <x v="99"/>
    <x v="0"/>
    <x v="0"/>
    <n v="39"/>
    <s v="month"/>
    <x v="0"/>
    <x v="3"/>
    <x v="0"/>
  </r>
  <r>
    <n v="129447970"/>
    <x v="99"/>
    <x v="36"/>
    <x v="0"/>
    <n v="39"/>
    <s v="month"/>
    <x v="1"/>
    <x v="3"/>
    <x v="0"/>
  </r>
  <r>
    <n v="169388365"/>
    <x v="99"/>
    <x v="180"/>
    <x v="0"/>
    <n v="39"/>
    <s v="month"/>
    <x v="29"/>
    <x v="3"/>
    <x v="0"/>
  </r>
  <r>
    <n v="130872019"/>
    <x v="99"/>
    <x v="246"/>
    <x v="0"/>
    <n v="39"/>
    <s v="month"/>
    <x v="147"/>
    <x v="3"/>
    <x v="0"/>
  </r>
  <r>
    <n v="167674086"/>
    <x v="99"/>
    <x v="251"/>
    <x v="0"/>
    <n v="39"/>
    <s v="month"/>
    <x v="191"/>
    <x v="3"/>
    <x v="0"/>
  </r>
  <r>
    <n v="169590994"/>
    <x v="99"/>
    <x v="179"/>
    <x v="0"/>
    <n v="39"/>
    <s v="month"/>
    <x v="148"/>
    <x v="3"/>
    <x v="0"/>
  </r>
  <r>
    <n v="166199181"/>
    <x v="99"/>
    <x v="117"/>
    <x v="0"/>
    <n v="39"/>
    <s v="month"/>
    <x v="87"/>
    <x v="3"/>
    <x v="0"/>
  </r>
  <r>
    <n v="169895510"/>
    <x v="100"/>
    <x v="0"/>
    <x v="0"/>
    <n v="39"/>
    <s v="month"/>
    <x v="0"/>
    <x v="4"/>
    <x v="0"/>
  </r>
  <r>
    <n v="169837410"/>
    <x v="100"/>
    <x v="0"/>
    <x v="0"/>
    <n v="39"/>
    <s v="month"/>
    <x v="0"/>
    <x v="4"/>
    <x v="0"/>
  </r>
  <r>
    <n v="169854397"/>
    <x v="100"/>
    <x v="0"/>
    <x v="1"/>
    <n v="39"/>
    <s v="month"/>
    <x v="0"/>
    <x v="4"/>
    <x v="0"/>
  </r>
  <r>
    <n v="145987169"/>
    <x v="100"/>
    <x v="175"/>
    <x v="0"/>
    <n v="39"/>
    <s v="month"/>
    <x v="192"/>
    <x v="4"/>
    <x v="0"/>
  </r>
  <r>
    <n v="169915574"/>
    <x v="100"/>
    <x v="32"/>
    <x v="0"/>
    <n v="39"/>
    <s v="month"/>
    <x v="53"/>
    <x v="4"/>
    <x v="0"/>
  </r>
  <r>
    <n v="164632485"/>
    <x v="100"/>
    <x v="191"/>
    <x v="0"/>
    <n v="39"/>
    <s v="month"/>
    <x v="93"/>
    <x v="4"/>
    <x v="0"/>
  </r>
  <r>
    <n v="169830063"/>
    <x v="100"/>
    <x v="143"/>
    <x v="0"/>
    <n v="39"/>
    <s v="month"/>
    <x v="78"/>
    <x v="4"/>
    <x v="0"/>
  </r>
  <r>
    <n v="162624984"/>
    <x v="100"/>
    <x v="115"/>
    <x v="0"/>
    <n v="39"/>
    <s v="month"/>
    <x v="190"/>
    <x v="4"/>
    <x v="0"/>
  </r>
  <r>
    <n v="169020452"/>
    <x v="100"/>
    <x v="252"/>
    <x v="0"/>
    <n v="39"/>
    <s v="month"/>
    <x v="162"/>
    <x v="4"/>
    <x v="0"/>
  </r>
  <r>
    <n v="170037760"/>
    <x v="101"/>
    <x v="0"/>
    <x v="0"/>
    <n v="39"/>
    <s v="month"/>
    <x v="0"/>
    <x v="5"/>
    <x v="0"/>
  </r>
  <r>
    <n v="116060198"/>
    <x v="101"/>
    <x v="253"/>
    <x v="0"/>
    <n v="39"/>
    <s v="month"/>
    <x v="66"/>
    <x v="5"/>
    <x v="0"/>
  </r>
  <r>
    <n v="129798657"/>
    <x v="101"/>
    <x v="32"/>
    <x v="0"/>
    <n v="39"/>
    <s v="month"/>
    <x v="97"/>
    <x v="5"/>
    <x v="0"/>
  </r>
  <r>
    <n v="170426615"/>
    <x v="101"/>
    <x v="206"/>
    <x v="0"/>
    <n v="39"/>
    <s v="month"/>
    <x v="169"/>
    <x v="5"/>
    <x v="0"/>
  </r>
  <r>
    <n v="161574018"/>
    <x v="101"/>
    <x v="56"/>
    <x v="0"/>
    <n v="39"/>
    <s v="month"/>
    <x v="144"/>
    <x v="5"/>
    <x v="0"/>
  </r>
  <r>
    <n v="160272364"/>
    <x v="102"/>
    <x v="0"/>
    <x v="0"/>
    <n v="39"/>
    <s v="month"/>
    <x v="0"/>
    <x v="6"/>
    <x v="0"/>
  </r>
  <r>
    <n v="144938943"/>
    <x v="102"/>
    <x v="0"/>
    <x v="1"/>
    <n v="39"/>
    <s v="month"/>
    <x v="0"/>
    <x v="6"/>
    <x v="0"/>
  </r>
  <r>
    <n v="170004555"/>
    <x v="102"/>
    <x v="254"/>
    <x v="0"/>
    <n v="39"/>
    <s v="month"/>
    <x v="26"/>
    <x v="6"/>
    <x v="0"/>
  </r>
  <r>
    <n v="167673987"/>
    <x v="102"/>
    <x v="56"/>
    <x v="0"/>
    <n v="39"/>
    <s v="month"/>
    <x v="88"/>
    <x v="6"/>
    <x v="0"/>
  </r>
  <r>
    <n v="154448870"/>
    <x v="102"/>
    <x v="183"/>
    <x v="0"/>
    <n v="39"/>
    <s v="month"/>
    <x v="184"/>
    <x v="6"/>
    <x v="0"/>
  </r>
  <r>
    <n v="153508650"/>
    <x v="102"/>
    <x v="192"/>
    <x v="0"/>
    <n v="39"/>
    <s v="month"/>
    <x v="122"/>
    <x v="6"/>
    <x v="0"/>
  </r>
  <r>
    <n v="156521981"/>
    <x v="102"/>
    <x v="83"/>
    <x v="0"/>
    <n v="39"/>
    <s v="month"/>
    <x v="28"/>
    <x v="6"/>
    <x v="0"/>
  </r>
  <r>
    <n v="170897520"/>
    <x v="102"/>
    <x v="255"/>
    <x v="0"/>
    <n v="39"/>
    <s v="month"/>
    <x v="193"/>
    <x v="6"/>
    <x v="0"/>
  </r>
  <r>
    <n v="167076396"/>
    <x v="102"/>
    <x v="236"/>
    <x v="0"/>
    <n v="39"/>
    <s v="month"/>
    <x v="194"/>
    <x v="6"/>
    <x v="0"/>
  </r>
  <r>
    <n v="170968987"/>
    <x v="103"/>
    <x v="0"/>
    <x v="0"/>
    <n v="39"/>
    <s v="month"/>
    <x v="0"/>
    <x v="0"/>
    <x v="0"/>
  </r>
  <r>
    <n v="170154956"/>
    <x v="103"/>
    <x v="256"/>
    <x v="0"/>
    <n v="39"/>
    <s v="month"/>
    <x v="121"/>
    <x v="0"/>
    <x v="0"/>
  </r>
  <r>
    <n v="170976924"/>
    <x v="103"/>
    <x v="159"/>
    <x v="0"/>
    <n v="39"/>
    <s v="month"/>
    <x v="195"/>
    <x v="0"/>
    <x v="0"/>
  </r>
  <r>
    <n v="171090027"/>
    <x v="103"/>
    <x v="218"/>
    <x v="0"/>
    <n v="39"/>
    <s v="month"/>
    <x v="75"/>
    <x v="0"/>
    <x v="0"/>
  </r>
  <r>
    <n v="167135160"/>
    <x v="103"/>
    <x v="117"/>
    <x v="0"/>
    <n v="39"/>
    <s v="month"/>
    <x v="36"/>
    <x v="0"/>
    <x v="0"/>
  </r>
  <r>
    <n v="171339244"/>
    <x v="103"/>
    <x v="164"/>
    <x v="0"/>
    <n v="39"/>
    <s v="month"/>
    <x v="11"/>
    <x v="0"/>
    <x v="0"/>
  </r>
  <r>
    <n v="169285280"/>
    <x v="104"/>
    <x v="92"/>
    <x v="1"/>
    <n v="39"/>
    <s v="month"/>
    <x v="1"/>
    <x v="1"/>
    <x v="0"/>
  </r>
  <r>
    <n v="137315832"/>
    <x v="104"/>
    <x v="78"/>
    <x v="0"/>
    <n v="39"/>
    <s v="month"/>
    <x v="66"/>
    <x v="1"/>
    <x v="0"/>
  </r>
  <r>
    <n v="171286538"/>
    <x v="104"/>
    <x v="257"/>
    <x v="0"/>
    <n v="39"/>
    <s v="month"/>
    <x v="113"/>
    <x v="1"/>
    <x v="0"/>
  </r>
  <r>
    <n v="154531106"/>
    <x v="104"/>
    <x v="122"/>
    <x v="0"/>
    <n v="39"/>
    <s v="month"/>
    <x v="68"/>
    <x v="1"/>
    <x v="0"/>
  </r>
  <r>
    <n v="169998988"/>
    <x v="104"/>
    <x v="258"/>
    <x v="0"/>
    <n v="39"/>
    <s v="month"/>
    <x v="196"/>
    <x v="1"/>
    <x v="0"/>
  </r>
  <r>
    <n v="171860036"/>
    <x v="104"/>
    <x v="259"/>
    <x v="0"/>
    <n v="39"/>
    <s v="month"/>
    <x v="77"/>
    <x v="1"/>
    <x v="0"/>
  </r>
  <r>
    <n v="169906376"/>
    <x v="104"/>
    <x v="206"/>
    <x v="0"/>
    <n v="39"/>
    <s v="month"/>
    <x v="26"/>
    <x v="1"/>
    <x v="0"/>
  </r>
  <r>
    <n v="171681744"/>
    <x v="104"/>
    <x v="46"/>
    <x v="0"/>
    <n v="39"/>
    <s v="month"/>
    <x v="39"/>
    <x v="1"/>
    <x v="0"/>
  </r>
  <r>
    <n v="171375108"/>
    <x v="104"/>
    <x v="104"/>
    <x v="0"/>
    <n v="39"/>
    <s v="month"/>
    <x v="28"/>
    <x v="1"/>
    <x v="0"/>
  </r>
  <r>
    <n v="166358674"/>
    <x v="104"/>
    <x v="115"/>
    <x v="0"/>
    <n v="39"/>
    <s v="month"/>
    <x v="87"/>
    <x v="1"/>
    <x v="0"/>
  </r>
  <r>
    <n v="168696864"/>
    <x v="105"/>
    <x v="154"/>
    <x v="0"/>
    <n v="39"/>
    <s v="month"/>
    <x v="1"/>
    <x v="2"/>
    <x v="0"/>
  </r>
  <r>
    <n v="149303812"/>
    <x v="105"/>
    <x v="230"/>
    <x v="0"/>
    <n v="39"/>
    <s v="month"/>
    <x v="197"/>
    <x v="2"/>
    <x v="0"/>
  </r>
  <r>
    <n v="145969392"/>
    <x v="105"/>
    <x v="214"/>
    <x v="0"/>
    <n v="39"/>
    <s v="month"/>
    <x v="192"/>
    <x v="2"/>
    <x v="0"/>
  </r>
  <r>
    <n v="169399624"/>
    <x v="105"/>
    <x v="91"/>
    <x v="0"/>
    <n v="39"/>
    <s v="month"/>
    <x v="13"/>
    <x v="2"/>
    <x v="0"/>
  </r>
  <r>
    <n v="162423643"/>
    <x v="105"/>
    <x v="92"/>
    <x v="0"/>
    <n v="39"/>
    <s v="month"/>
    <x v="11"/>
    <x v="2"/>
    <x v="0"/>
  </r>
  <r>
    <n v="171131528"/>
    <x v="106"/>
    <x v="0"/>
    <x v="0"/>
    <n v="39"/>
    <s v="month"/>
    <x v="0"/>
    <x v="3"/>
    <x v="0"/>
  </r>
  <r>
    <n v="172370430"/>
    <x v="106"/>
    <x v="260"/>
    <x v="1"/>
    <n v="39"/>
    <s v="month"/>
    <x v="1"/>
    <x v="3"/>
    <x v="0"/>
  </r>
  <r>
    <n v="122646091"/>
    <x v="106"/>
    <x v="233"/>
    <x v="0"/>
    <n v="39"/>
    <s v="month"/>
    <x v="49"/>
    <x v="3"/>
    <x v="0"/>
  </r>
  <r>
    <n v="171688728"/>
    <x v="106"/>
    <x v="245"/>
    <x v="0"/>
    <n v="39"/>
    <s v="month"/>
    <x v="20"/>
    <x v="3"/>
    <x v="0"/>
  </r>
  <r>
    <n v="173037778"/>
    <x v="106"/>
    <x v="175"/>
    <x v="0"/>
    <n v="39"/>
    <s v="month"/>
    <x v="57"/>
    <x v="3"/>
    <x v="0"/>
  </r>
  <r>
    <n v="139247241"/>
    <x v="106"/>
    <x v="261"/>
    <x v="0"/>
    <n v="39"/>
    <s v="month"/>
    <x v="40"/>
    <x v="3"/>
    <x v="0"/>
  </r>
  <r>
    <n v="138235674"/>
    <x v="107"/>
    <x v="0"/>
    <x v="0"/>
    <n v="39"/>
    <s v="month"/>
    <x v="0"/>
    <x v="4"/>
    <x v="0"/>
  </r>
  <r>
    <n v="173832314"/>
    <x v="107"/>
    <x v="179"/>
    <x v="0"/>
    <n v="39"/>
    <s v="month"/>
    <x v="88"/>
    <x v="4"/>
    <x v="0"/>
  </r>
  <r>
    <n v="170752898"/>
    <x v="107"/>
    <x v="184"/>
    <x v="0"/>
    <n v="39"/>
    <s v="month"/>
    <x v="177"/>
    <x v="4"/>
    <x v="0"/>
  </r>
  <r>
    <n v="172517999"/>
    <x v="107"/>
    <x v="134"/>
    <x v="0"/>
    <n v="39"/>
    <s v="month"/>
    <x v="87"/>
    <x v="4"/>
    <x v="0"/>
  </r>
  <r>
    <n v="150779000"/>
    <x v="107"/>
    <x v="183"/>
    <x v="0"/>
    <n v="39"/>
    <s v="month"/>
    <x v="10"/>
    <x v="4"/>
    <x v="0"/>
  </r>
  <r>
    <n v="171304646"/>
    <x v="107"/>
    <x v="262"/>
    <x v="0"/>
    <n v="39"/>
    <s v="month"/>
    <x v="198"/>
    <x v="4"/>
    <x v="0"/>
  </r>
  <r>
    <n v="168696864"/>
    <x v="108"/>
    <x v="0"/>
    <x v="0"/>
    <n v="39"/>
    <s v="month"/>
    <x v="0"/>
    <x v="5"/>
    <x v="0"/>
  </r>
  <r>
    <n v="174268714"/>
    <x v="108"/>
    <x v="0"/>
    <x v="0"/>
    <n v="39"/>
    <s v="month"/>
    <x v="0"/>
    <x v="5"/>
    <x v="0"/>
  </r>
  <r>
    <n v="147022677"/>
    <x v="108"/>
    <x v="0"/>
    <x v="0"/>
    <n v="39"/>
    <s v="month"/>
    <x v="0"/>
    <x v="5"/>
    <x v="0"/>
  </r>
  <r>
    <n v="156864062"/>
    <x v="108"/>
    <x v="97"/>
    <x v="1"/>
    <n v="39"/>
    <s v="month"/>
    <x v="1"/>
    <x v="5"/>
    <x v="0"/>
  </r>
  <r>
    <n v="123065349"/>
    <x v="108"/>
    <x v="95"/>
    <x v="0"/>
    <n v="39"/>
    <s v="month"/>
    <x v="66"/>
    <x v="5"/>
    <x v="0"/>
  </r>
  <r>
    <n v="174258180"/>
    <x v="108"/>
    <x v="263"/>
    <x v="0"/>
    <n v="39"/>
    <s v="month"/>
    <x v="199"/>
    <x v="5"/>
    <x v="0"/>
  </r>
  <r>
    <n v="174269667"/>
    <x v="108"/>
    <x v="197"/>
    <x v="0"/>
    <n v="39"/>
    <s v="month"/>
    <x v="200"/>
    <x v="5"/>
    <x v="0"/>
  </r>
  <r>
    <n v="171889946"/>
    <x v="108"/>
    <x v="91"/>
    <x v="0"/>
    <n v="39"/>
    <s v="month"/>
    <x v="55"/>
    <x v="5"/>
    <x v="0"/>
  </r>
  <r>
    <n v="171613468"/>
    <x v="108"/>
    <x v="46"/>
    <x v="0"/>
    <n v="39"/>
    <s v="month"/>
    <x v="70"/>
    <x v="5"/>
    <x v="0"/>
  </r>
  <r>
    <n v="122922737"/>
    <x v="109"/>
    <x v="0"/>
    <x v="0"/>
    <n v="39"/>
    <s v="month"/>
    <x v="0"/>
    <x v="6"/>
    <x v="0"/>
  </r>
  <r>
    <n v="174646924"/>
    <x v="109"/>
    <x v="125"/>
    <x v="0"/>
    <n v="39"/>
    <s v="month"/>
    <x v="66"/>
    <x v="6"/>
    <x v="0"/>
  </r>
  <r>
    <n v="174264280"/>
    <x v="109"/>
    <x v="125"/>
    <x v="0"/>
    <n v="39"/>
    <s v="month"/>
    <x v="66"/>
    <x v="6"/>
    <x v="0"/>
  </r>
  <r>
    <n v="174609120"/>
    <x v="109"/>
    <x v="259"/>
    <x v="0"/>
    <n v="39"/>
    <s v="month"/>
    <x v="168"/>
    <x v="6"/>
    <x v="0"/>
  </r>
  <r>
    <n v="174158995"/>
    <x v="109"/>
    <x v="264"/>
    <x v="0"/>
    <n v="39"/>
    <s v="month"/>
    <x v="177"/>
    <x v="6"/>
    <x v="0"/>
  </r>
  <r>
    <n v="174484311"/>
    <x v="109"/>
    <x v="264"/>
    <x v="0"/>
    <n v="39"/>
    <s v="month"/>
    <x v="177"/>
    <x v="6"/>
    <x v="0"/>
  </r>
  <r>
    <n v="169556175"/>
    <x v="109"/>
    <x v="172"/>
    <x v="0"/>
    <n v="39"/>
    <s v="month"/>
    <x v="50"/>
    <x v="6"/>
    <x v="0"/>
  </r>
  <r>
    <n v="153122282"/>
    <x v="109"/>
    <x v="97"/>
    <x v="0"/>
    <n v="39"/>
    <s v="month"/>
    <x v="11"/>
    <x v="6"/>
    <x v="0"/>
  </r>
  <r>
    <n v="174576654"/>
    <x v="109"/>
    <x v="160"/>
    <x v="0"/>
    <n v="39"/>
    <s v="month"/>
    <x v="201"/>
    <x v="6"/>
    <x v="0"/>
  </r>
  <r>
    <n v="154711077"/>
    <x v="110"/>
    <x v="0"/>
    <x v="0"/>
    <n v="39"/>
    <s v="month"/>
    <x v="0"/>
    <x v="0"/>
    <x v="0"/>
  </r>
  <r>
    <n v="163619032"/>
    <x v="110"/>
    <x v="0"/>
    <x v="0"/>
    <n v="39"/>
    <s v="month"/>
    <x v="0"/>
    <x v="0"/>
    <x v="0"/>
  </r>
  <r>
    <n v="171001864"/>
    <x v="110"/>
    <x v="0"/>
    <x v="0"/>
    <n v="39"/>
    <s v="month"/>
    <x v="0"/>
    <x v="0"/>
    <x v="0"/>
  </r>
  <r>
    <n v="151890014"/>
    <x v="110"/>
    <x v="0"/>
    <x v="0"/>
    <n v="39"/>
    <s v="month"/>
    <x v="0"/>
    <x v="0"/>
    <x v="0"/>
  </r>
  <r>
    <n v="158575772"/>
    <x v="110"/>
    <x v="238"/>
    <x v="0"/>
    <n v="39"/>
    <s v="month"/>
    <x v="1"/>
    <x v="0"/>
    <x v="0"/>
  </r>
  <r>
    <n v="164462665"/>
    <x v="110"/>
    <x v="238"/>
    <x v="1"/>
    <n v="39"/>
    <s v="month"/>
    <x v="1"/>
    <x v="0"/>
    <x v="0"/>
  </r>
  <r>
    <n v="121830768"/>
    <x v="110"/>
    <x v="194"/>
    <x v="0"/>
    <n v="39"/>
    <s v="month"/>
    <x v="156"/>
    <x v="0"/>
    <x v="0"/>
  </r>
  <r>
    <n v="174605216"/>
    <x v="110"/>
    <x v="82"/>
    <x v="0"/>
    <n v="39"/>
    <s v="month"/>
    <x v="191"/>
    <x v="0"/>
    <x v="0"/>
  </r>
  <r>
    <n v="174655316"/>
    <x v="110"/>
    <x v="142"/>
    <x v="0"/>
    <n v="39"/>
    <s v="month"/>
    <x v="6"/>
    <x v="0"/>
    <x v="0"/>
  </r>
  <r>
    <n v="174622570"/>
    <x v="110"/>
    <x v="133"/>
    <x v="0"/>
    <n v="39"/>
    <s v="month"/>
    <x v="79"/>
    <x v="0"/>
    <x v="0"/>
  </r>
  <r>
    <n v="174720005"/>
    <x v="110"/>
    <x v="238"/>
    <x v="0"/>
    <n v="39"/>
    <s v="month"/>
    <x v="1"/>
    <x v="0"/>
    <x v="0"/>
  </r>
  <r>
    <n v="174696512"/>
    <x v="111"/>
    <x v="0"/>
    <x v="0"/>
    <n v="39"/>
    <s v="month"/>
    <x v="0"/>
    <x v="1"/>
    <x v="0"/>
  </r>
  <r>
    <n v="175314293"/>
    <x v="111"/>
    <x v="0"/>
    <x v="0"/>
    <n v="39"/>
    <s v="month"/>
    <x v="0"/>
    <x v="1"/>
    <x v="0"/>
  </r>
  <r>
    <n v="175451863"/>
    <x v="111"/>
    <x v="253"/>
    <x v="0"/>
    <n v="39"/>
    <s v="month"/>
    <x v="168"/>
    <x v="1"/>
    <x v="0"/>
  </r>
  <r>
    <n v="174752844"/>
    <x v="111"/>
    <x v="143"/>
    <x v="0"/>
    <n v="39"/>
    <s v="month"/>
    <x v="87"/>
    <x v="1"/>
    <x v="0"/>
  </r>
  <r>
    <n v="175431141"/>
    <x v="112"/>
    <x v="0"/>
    <x v="0"/>
    <n v="39"/>
    <s v="month"/>
    <x v="0"/>
    <x v="2"/>
    <x v="0"/>
  </r>
  <r>
    <n v="132228678"/>
    <x v="112"/>
    <x v="61"/>
    <x v="0"/>
    <n v="39"/>
    <s v="month"/>
    <x v="11"/>
    <x v="2"/>
    <x v="0"/>
  </r>
  <r>
    <n v="161151062"/>
    <x v="112"/>
    <x v="185"/>
    <x v="0"/>
    <n v="39"/>
    <s v="month"/>
    <x v="101"/>
    <x v="2"/>
    <x v="0"/>
  </r>
  <r>
    <n v="167653319"/>
    <x v="112"/>
    <x v="32"/>
    <x v="0"/>
    <n v="39"/>
    <s v="month"/>
    <x v="132"/>
    <x v="2"/>
    <x v="0"/>
  </r>
  <r>
    <n v="171659515"/>
    <x v="112"/>
    <x v="115"/>
    <x v="0"/>
    <n v="39"/>
    <s v="month"/>
    <x v="35"/>
    <x v="2"/>
    <x v="0"/>
  </r>
  <r>
    <n v="175720159"/>
    <x v="112"/>
    <x v="226"/>
    <x v="0"/>
    <n v="39"/>
    <s v="month"/>
    <x v="178"/>
    <x v="2"/>
    <x v="0"/>
  </r>
  <r>
    <n v="170593141"/>
    <x v="112"/>
    <x v="193"/>
    <x v="0"/>
    <n v="39"/>
    <s v="month"/>
    <x v="134"/>
    <x v="2"/>
    <x v="0"/>
  </r>
  <r>
    <n v="173981170"/>
    <x v="112"/>
    <x v="169"/>
    <x v="0"/>
    <n v="39"/>
    <s v="month"/>
    <x v="1"/>
    <x v="2"/>
    <x v="0"/>
  </r>
  <r>
    <n v="175166391"/>
    <x v="113"/>
    <x v="0"/>
    <x v="0"/>
    <n v="39"/>
    <s v="month"/>
    <x v="0"/>
    <x v="3"/>
    <x v="0"/>
  </r>
  <r>
    <n v="161175048"/>
    <x v="113"/>
    <x v="46"/>
    <x v="0"/>
    <n v="39"/>
    <s v="month"/>
    <x v="26"/>
    <x v="3"/>
    <x v="0"/>
  </r>
  <r>
    <n v="164254865"/>
    <x v="113"/>
    <x v="194"/>
    <x v="0"/>
    <n v="39"/>
    <s v="month"/>
    <x v="35"/>
    <x v="3"/>
    <x v="0"/>
  </r>
  <r>
    <n v="143248615"/>
    <x v="114"/>
    <x v="0"/>
    <x v="0"/>
    <n v="39"/>
    <s v="month"/>
    <x v="0"/>
    <x v="4"/>
    <x v="0"/>
  </r>
  <r>
    <n v="176032070"/>
    <x v="114"/>
    <x v="83"/>
    <x v="0"/>
    <n v="39"/>
    <s v="month"/>
    <x v="184"/>
    <x v="4"/>
    <x v="0"/>
  </r>
  <r>
    <n v="174132333"/>
    <x v="115"/>
    <x v="0"/>
    <x v="0"/>
    <n v="39"/>
    <s v="month"/>
    <x v="0"/>
    <x v="5"/>
    <x v="0"/>
  </r>
  <r>
    <n v="177051147"/>
    <x v="115"/>
    <x v="118"/>
    <x v="0"/>
    <n v="39"/>
    <s v="month"/>
    <x v="1"/>
    <x v="5"/>
    <x v="0"/>
  </r>
  <r>
    <n v="176571319"/>
    <x v="115"/>
    <x v="16"/>
    <x v="0"/>
    <n v="39"/>
    <s v="month"/>
    <x v="137"/>
    <x v="5"/>
    <x v="0"/>
  </r>
  <r>
    <n v="166932902"/>
    <x v="115"/>
    <x v="70"/>
    <x v="0"/>
    <n v="39"/>
    <s v="month"/>
    <x v="88"/>
    <x v="5"/>
    <x v="0"/>
  </r>
  <r>
    <n v="175851244"/>
    <x v="115"/>
    <x v="247"/>
    <x v="0"/>
    <n v="39"/>
    <s v="month"/>
    <x v="87"/>
    <x v="5"/>
    <x v="0"/>
  </r>
  <r>
    <n v="155613371"/>
    <x v="115"/>
    <x v="247"/>
    <x v="0"/>
    <n v="39"/>
    <s v="month"/>
    <x v="87"/>
    <x v="5"/>
    <x v="0"/>
  </r>
  <r>
    <n v="167678290"/>
    <x v="115"/>
    <x v="175"/>
    <x v="0"/>
    <n v="39"/>
    <s v="month"/>
    <x v="28"/>
    <x v="5"/>
    <x v="0"/>
  </r>
  <r>
    <n v="176995917"/>
    <x v="115"/>
    <x v="3"/>
    <x v="0"/>
    <n v="39"/>
    <s v="month"/>
    <x v="202"/>
    <x v="5"/>
    <x v="0"/>
  </r>
  <r>
    <n v="161187523"/>
    <x v="115"/>
    <x v="265"/>
    <x v="0"/>
    <n v="39"/>
    <s v="month"/>
    <x v="203"/>
    <x v="5"/>
    <x v="0"/>
  </r>
  <r>
    <n v="175884318"/>
    <x v="116"/>
    <x v="83"/>
    <x v="0"/>
    <n v="39"/>
    <s v="month"/>
    <x v="118"/>
    <x v="6"/>
    <x v="0"/>
  </r>
  <r>
    <n v="173911972"/>
    <x v="116"/>
    <x v="266"/>
    <x v="0"/>
    <n v="39"/>
    <s v="month"/>
    <x v="165"/>
    <x v="6"/>
    <x v="0"/>
  </r>
  <r>
    <n v="177696301"/>
    <x v="116"/>
    <x v="267"/>
    <x v="0"/>
    <n v="39"/>
    <s v="month"/>
    <x v="204"/>
    <x v="6"/>
    <x v="0"/>
  </r>
  <r>
    <n v="165744582"/>
    <x v="116"/>
    <x v="153"/>
    <x v="0"/>
    <n v="39"/>
    <s v="month"/>
    <x v="192"/>
    <x v="6"/>
    <x v="0"/>
  </r>
  <r>
    <n v="177323966"/>
    <x v="116"/>
    <x v="118"/>
    <x v="0"/>
    <n v="39"/>
    <s v="month"/>
    <x v="11"/>
    <x v="6"/>
    <x v="0"/>
  </r>
  <r>
    <n v="178355844"/>
    <x v="117"/>
    <x v="0"/>
    <x v="0"/>
    <n v="39"/>
    <s v="month"/>
    <x v="0"/>
    <x v="0"/>
    <x v="0"/>
  </r>
  <r>
    <n v="176989743"/>
    <x v="117"/>
    <x v="0"/>
    <x v="0"/>
    <n v="39"/>
    <s v="month"/>
    <x v="0"/>
    <x v="0"/>
    <x v="0"/>
  </r>
  <r>
    <n v="177971827"/>
    <x v="117"/>
    <x v="0"/>
    <x v="0"/>
    <n v="39"/>
    <s v="month"/>
    <x v="0"/>
    <x v="0"/>
    <x v="0"/>
  </r>
  <r>
    <n v="131147038"/>
    <x v="117"/>
    <x v="206"/>
    <x v="0"/>
    <n v="39"/>
    <s v="month"/>
    <x v="192"/>
    <x v="0"/>
    <x v="0"/>
  </r>
  <r>
    <n v="152142457"/>
    <x v="117"/>
    <x v="153"/>
    <x v="0"/>
    <n v="39"/>
    <s v="month"/>
    <x v="19"/>
    <x v="0"/>
    <x v="0"/>
  </r>
  <r>
    <n v="174293226"/>
    <x v="117"/>
    <x v="268"/>
    <x v="0"/>
    <n v="39"/>
    <s v="month"/>
    <x v="205"/>
    <x v="0"/>
    <x v="0"/>
  </r>
  <r>
    <n v="177051147"/>
    <x v="117"/>
    <x v="95"/>
    <x v="0"/>
    <n v="39"/>
    <s v="month"/>
    <x v="138"/>
    <x v="0"/>
    <x v="0"/>
  </r>
  <r>
    <n v="177963240"/>
    <x v="117"/>
    <x v="175"/>
    <x v="0"/>
    <n v="39"/>
    <s v="month"/>
    <x v="72"/>
    <x v="0"/>
    <x v="0"/>
  </r>
  <r>
    <n v="176639972"/>
    <x v="117"/>
    <x v="269"/>
    <x v="0"/>
    <n v="39"/>
    <s v="month"/>
    <x v="35"/>
    <x v="0"/>
    <x v="0"/>
  </r>
  <r>
    <n v="175818000"/>
    <x v="118"/>
    <x v="270"/>
    <x v="0"/>
    <n v="39"/>
    <s v="month"/>
    <x v="206"/>
    <x v="1"/>
    <x v="0"/>
  </r>
  <r>
    <n v="117856836"/>
    <x v="118"/>
    <x v="170"/>
    <x v="0"/>
    <n v="39"/>
    <s v="month"/>
    <x v="36"/>
    <x v="1"/>
    <x v="0"/>
  </r>
  <r>
    <n v="177266058"/>
    <x v="118"/>
    <x v="128"/>
    <x v="0"/>
    <n v="39"/>
    <s v="month"/>
    <x v="66"/>
    <x v="1"/>
    <x v="0"/>
  </r>
  <r>
    <n v="174203866"/>
    <x v="118"/>
    <x v="271"/>
    <x v="0"/>
    <n v="39"/>
    <s v="month"/>
    <x v="8"/>
    <x v="1"/>
    <x v="0"/>
  </r>
  <r>
    <n v="174991614"/>
    <x v="118"/>
    <x v="143"/>
    <x v="0"/>
    <n v="39"/>
    <s v="month"/>
    <x v="28"/>
    <x v="1"/>
    <x v="0"/>
  </r>
  <r>
    <n v="175354348"/>
    <x v="118"/>
    <x v="105"/>
    <x v="0"/>
    <n v="39"/>
    <s v="month"/>
    <x v="2"/>
    <x v="1"/>
    <x v="0"/>
  </r>
  <r>
    <n v="176573512"/>
    <x v="118"/>
    <x v="244"/>
    <x v="0"/>
    <n v="39"/>
    <s v="month"/>
    <x v="207"/>
    <x v="1"/>
    <x v="0"/>
  </r>
  <r>
    <n v="178379352"/>
    <x v="119"/>
    <x v="183"/>
    <x v="0"/>
    <n v="39"/>
    <s v="month"/>
    <x v="208"/>
    <x v="2"/>
    <x v="0"/>
  </r>
  <r>
    <n v="152980676"/>
    <x v="119"/>
    <x v="105"/>
    <x v="0"/>
    <n v="39"/>
    <s v="month"/>
    <x v="86"/>
    <x v="2"/>
    <x v="0"/>
  </r>
  <r>
    <n v="179551652"/>
    <x v="119"/>
    <x v="235"/>
    <x v="0"/>
    <n v="39"/>
    <s v="month"/>
    <x v="145"/>
    <x v="2"/>
    <x v="0"/>
  </r>
  <r>
    <n v="175899028"/>
    <x v="119"/>
    <x v="272"/>
    <x v="0"/>
    <n v="39"/>
    <s v="month"/>
    <x v="6"/>
    <x v="2"/>
    <x v="0"/>
  </r>
  <r>
    <n v="148427368"/>
    <x v="119"/>
    <x v="201"/>
    <x v="0"/>
    <n v="39"/>
    <s v="month"/>
    <x v="87"/>
    <x v="2"/>
    <x v="0"/>
  </r>
  <r>
    <n v="149335749"/>
    <x v="119"/>
    <x v="143"/>
    <x v="0"/>
    <n v="39"/>
    <s v="month"/>
    <x v="35"/>
    <x v="2"/>
    <x v="0"/>
  </r>
  <r>
    <n v="179395204"/>
    <x v="119"/>
    <x v="104"/>
    <x v="0"/>
    <n v="39"/>
    <s v="month"/>
    <x v="178"/>
    <x v="2"/>
    <x v="0"/>
  </r>
  <r>
    <n v="150870576"/>
    <x v="120"/>
    <x v="273"/>
    <x v="0"/>
    <n v="39"/>
    <s v="month"/>
    <x v="105"/>
    <x v="3"/>
    <x v="1"/>
  </r>
  <r>
    <n v="176200716"/>
    <x v="120"/>
    <x v="266"/>
    <x v="0"/>
    <n v="39"/>
    <s v="month"/>
    <x v="91"/>
    <x v="3"/>
    <x v="1"/>
  </r>
  <r>
    <n v="178097351"/>
    <x v="120"/>
    <x v="35"/>
    <x v="0"/>
    <n v="39"/>
    <s v="month"/>
    <x v="87"/>
    <x v="3"/>
    <x v="1"/>
  </r>
  <r>
    <n v="177238262"/>
    <x v="121"/>
    <x v="0"/>
    <x v="0"/>
    <n v="39"/>
    <s v="month"/>
    <x v="0"/>
    <x v="4"/>
    <x v="1"/>
  </r>
  <r>
    <n v="173131478"/>
    <x v="121"/>
    <x v="0"/>
    <x v="0"/>
    <n v="39"/>
    <s v="month"/>
    <x v="0"/>
    <x v="4"/>
    <x v="1"/>
  </r>
  <r>
    <n v="180123121"/>
    <x v="121"/>
    <x v="183"/>
    <x v="1"/>
    <n v="39"/>
    <s v="month"/>
    <x v="11"/>
    <x v="4"/>
    <x v="1"/>
  </r>
  <r>
    <n v="139136640"/>
    <x v="121"/>
    <x v="162"/>
    <x v="0"/>
    <n v="39"/>
    <s v="month"/>
    <x v="177"/>
    <x v="4"/>
    <x v="1"/>
  </r>
  <r>
    <n v="172951272"/>
    <x v="121"/>
    <x v="274"/>
    <x v="0"/>
    <n v="39"/>
    <s v="month"/>
    <x v="121"/>
    <x v="4"/>
    <x v="1"/>
  </r>
  <r>
    <n v="175473611"/>
    <x v="121"/>
    <x v="275"/>
    <x v="0"/>
    <n v="39"/>
    <s v="month"/>
    <x v="65"/>
    <x v="4"/>
    <x v="1"/>
  </r>
  <r>
    <n v="170776130"/>
    <x v="121"/>
    <x v="256"/>
    <x v="0"/>
    <n v="39"/>
    <s v="month"/>
    <x v="209"/>
    <x v="4"/>
    <x v="1"/>
  </r>
  <r>
    <n v="180558466"/>
    <x v="121"/>
    <x v="272"/>
    <x v="0"/>
    <n v="39"/>
    <s v="month"/>
    <x v="18"/>
    <x v="4"/>
    <x v="1"/>
  </r>
  <r>
    <n v="171398636"/>
    <x v="121"/>
    <x v="276"/>
    <x v="0"/>
    <n v="39"/>
    <s v="month"/>
    <x v="210"/>
    <x v="4"/>
    <x v="1"/>
  </r>
  <r>
    <n v="180424776"/>
    <x v="121"/>
    <x v="277"/>
    <x v="0"/>
    <n v="39"/>
    <s v="month"/>
    <x v="83"/>
    <x v="4"/>
    <x v="1"/>
  </r>
  <r>
    <n v="180198528"/>
    <x v="121"/>
    <x v="219"/>
    <x v="0"/>
    <n v="39"/>
    <s v="month"/>
    <x v="87"/>
    <x v="4"/>
    <x v="1"/>
  </r>
  <r>
    <n v="124634385"/>
    <x v="122"/>
    <x v="0"/>
    <x v="0"/>
    <n v="39"/>
    <s v="month"/>
    <x v="0"/>
    <x v="5"/>
    <x v="1"/>
  </r>
  <r>
    <n v="180740092"/>
    <x v="122"/>
    <x v="0"/>
    <x v="0"/>
    <n v="39"/>
    <s v="month"/>
    <x v="0"/>
    <x v="5"/>
    <x v="1"/>
  </r>
  <r>
    <n v="144385898"/>
    <x v="122"/>
    <x v="244"/>
    <x v="0"/>
    <n v="39"/>
    <s v="month"/>
    <x v="211"/>
    <x v="5"/>
    <x v="1"/>
  </r>
  <r>
    <n v="175138132"/>
    <x v="122"/>
    <x v="275"/>
    <x v="0"/>
    <n v="39"/>
    <s v="month"/>
    <x v="212"/>
    <x v="5"/>
    <x v="1"/>
  </r>
  <r>
    <n v="180968287"/>
    <x v="122"/>
    <x v="95"/>
    <x v="0"/>
    <n v="39"/>
    <s v="month"/>
    <x v="6"/>
    <x v="5"/>
    <x v="1"/>
  </r>
  <r>
    <n v="180959934"/>
    <x v="122"/>
    <x v="278"/>
    <x v="0"/>
    <n v="39"/>
    <s v="month"/>
    <x v="70"/>
    <x v="5"/>
    <x v="1"/>
  </r>
  <r>
    <n v="176445635"/>
    <x v="122"/>
    <x v="198"/>
    <x v="0"/>
    <n v="39"/>
    <s v="month"/>
    <x v="192"/>
    <x v="5"/>
    <x v="1"/>
  </r>
  <r>
    <n v="180798046"/>
    <x v="122"/>
    <x v="192"/>
    <x v="0"/>
    <n v="39"/>
    <s v="month"/>
    <x v="44"/>
    <x v="5"/>
    <x v="1"/>
  </r>
  <r>
    <n v="180718702"/>
    <x v="122"/>
    <x v="84"/>
    <x v="0"/>
    <n v="39"/>
    <s v="month"/>
    <x v="2"/>
    <x v="5"/>
    <x v="1"/>
  </r>
  <r>
    <n v="181052392"/>
    <x v="122"/>
    <x v="225"/>
    <x v="0"/>
    <n v="39"/>
    <s v="month"/>
    <x v="99"/>
    <x v="5"/>
    <x v="1"/>
  </r>
  <r>
    <n v="181717508"/>
    <x v="123"/>
    <x v="0"/>
    <x v="0"/>
    <n v="39"/>
    <s v="month"/>
    <x v="0"/>
    <x v="6"/>
    <x v="1"/>
  </r>
  <r>
    <n v="163103592"/>
    <x v="123"/>
    <x v="79"/>
    <x v="1"/>
    <n v="39"/>
    <s v="month"/>
    <x v="1"/>
    <x v="6"/>
    <x v="1"/>
  </r>
  <r>
    <n v="146860806"/>
    <x v="123"/>
    <x v="250"/>
    <x v="0"/>
    <n v="39"/>
    <s v="month"/>
    <x v="26"/>
    <x v="6"/>
    <x v="1"/>
  </r>
  <r>
    <n v="160532210"/>
    <x v="123"/>
    <x v="153"/>
    <x v="0"/>
    <n v="39"/>
    <s v="month"/>
    <x v="179"/>
    <x v="6"/>
    <x v="1"/>
  </r>
  <r>
    <n v="181003342"/>
    <x v="123"/>
    <x v="271"/>
    <x v="0"/>
    <n v="39"/>
    <s v="month"/>
    <x v="13"/>
    <x v="6"/>
    <x v="1"/>
  </r>
  <r>
    <n v="178661698"/>
    <x v="123"/>
    <x v="279"/>
    <x v="0"/>
    <n v="39"/>
    <s v="month"/>
    <x v="30"/>
    <x v="6"/>
    <x v="1"/>
  </r>
  <r>
    <n v="178928897"/>
    <x v="124"/>
    <x v="0"/>
    <x v="0"/>
    <n v="39"/>
    <s v="month"/>
    <x v="0"/>
    <x v="0"/>
    <x v="1"/>
  </r>
  <r>
    <n v="181840814"/>
    <x v="124"/>
    <x v="0"/>
    <x v="0"/>
    <n v="39"/>
    <s v="month"/>
    <x v="0"/>
    <x v="0"/>
    <x v="1"/>
  </r>
  <r>
    <n v="166930287"/>
    <x v="124"/>
    <x v="129"/>
    <x v="1"/>
    <n v="39"/>
    <s v="month"/>
    <x v="1"/>
    <x v="0"/>
    <x v="1"/>
  </r>
  <r>
    <n v="155956314"/>
    <x v="124"/>
    <x v="79"/>
    <x v="1"/>
    <n v="39"/>
    <s v="month"/>
    <x v="11"/>
    <x v="0"/>
    <x v="1"/>
  </r>
  <r>
    <n v="182408564"/>
    <x v="124"/>
    <x v="243"/>
    <x v="0"/>
    <n v="39"/>
    <s v="month"/>
    <x v="68"/>
    <x v="0"/>
    <x v="1"/>
  </r>
  <r>
    <n v="182295766"/>
    <x v="124"/>
    <x v="33"/>
    <x v="0"/>
    <n v="39"/>
    <s v="month"/>
    <x v="177"/>
    <x v="0"/>
    <x v="1"/>
  </r>
  <r>
    <n v="155881023"/>
    <x v="124"/>
    <x v="161"/>
    <x v="0"/>
    <n v="39"/>
    <s v="month"/>
    <x v="109"/>
    <x v="0"/>
    <x v="1"/>
  </r>
  <r>
    <n v="152750569"/>
    <x v="124"/>
    <x v="153"/>
    <x v="0"/>
    <n v="39"/>
    <s v="month"/>
    <x v="87"/>
    <x v="0"/>
    <x v="1"/>
  </r>
  <r>
    <n v="178345451"/>
    <x v="124"/>
    <x v="153"/>
    <x v="0"/>
    <n v="39"/>
    <s v="month"/>
    <x v="87"/>
    <x v="0"/>
    <x v="1"/>
  </r>
  <r>
    <n v="179758181"/>
    <x v="125"/>
    <x v="0"/>
    <x v="0"/>
    <n v="39"/>
    <s v="month"/>
    <x v="0"/>
    <x v="1"/>
    <x v="1"/>
  </r>
  <r>
    <n v="167266048"/>
    <x v="125"/>
    <x v="0"/>
    <x v="0"/>
    <n v="39"/>
    <s v="month"/>
    <x v="0"/>
    <x v="1"/>
    <x v="1"/>
  </r>
  <r>
    <n v="182719870"/>
    <x v="125"/>
    <x v="243"/>
    <x v="0"/>
    <n v="39"/>
    <s v="month"/>
    <x v="113"/>
    <x v="1"/>
    <x v="1"/>
  </r>
  <r>
    <n v="182408430"/>
    <x v="125"/>
    <x v="15"/>
    <x v="0"/>
    <n v="39"/>
    <s v="month"/>
    <x v="121"/>
    <x v="1"/>
    <x v="1"/>
  </r>
  <r>
    <n v="181072524"/>
    <x v="125"/>
    <x v="187"/>
    <x v="0"/>
    <n v="39"/>
    <s v="month"/>
    <x v="213"/>
    <x v="1"/>
    <x v="1"/>
  </r>
  <r>
    <n v="182747824"/>
    <x v="125"/>
    <x v="257"/>
    <x v="0"/>
    <n v="39"/>
    <s v="month"/>
    <x v="66"/>
    <x v="1"/>
    <x v="1"/>
  </r>
  <r>
    <n v="182700534"/>
    <x v="125"/>
    <x v="208"/>
    <x v="0"/>
    <n v="39"/>
    <s v="month"/>
    <x v="132"/>
    <x v="1"/>
    <x v="1"/>
  </r>
  <r>
    <n v="182727349"/>
    <x v="125"/>
    <x v="136"/>
    <x v="0"/>
    <n v="39"/>
    <s v="month"/>
    <x v="28"/>
    <x v="1"/>
    <x v="1"/>
  </r>
  <r>
    <n v="182636324"/>
    <x v="125"/>
    <x v="247"/>
    <x v="0"/>
    <n v="39"/>
    <s v="month"/>
    <x v="44"/>
    <x v="1"/>
    <x v="1"/>
  </r>
  <r>
    <n v="170485769"/>
    <x v="125"/>
    <x v="129"/>
    <x v="0"/>
    <n v="39"/>
    <s v="month"/>
    <x v="11"/>
    <x v="1"/>
    <x v="1"/>
  </r>
  <r>
    <n v="182627508"/>
    <x v="125"/>
    <x v="129"/>
    <x v="0"/>
    <n v="39"/>
    <s v="month"/>
    <x v="11"/>
    <x v="1"/>
    <x v="1"/>
  </r>
  <r>
    <n v="182834016"/>
    <x v="126"/>
    <x v="69"/>
    <x v="0"/>
    <n v="39"/>
    <s v="month"/>
    <x v="119"/>
    <x v="2"/>
    <x v="1"/>
  </r>
  <r>
    <n v="163535855"/>
    <x v="126"/>
    <x v="173"/>
    <x v="0"/>
    <n v="39"/>
    <s v="month"/>
    <x v="105"/>
    <x v="2"/>
    <x v="1"/>
  </r>
  <r>
    <n v="183002853"/>
    <x v="126"/>
    <x v="239"/>
    <x v="0"/>
    <n v="39"/>
    <s v="month"/>
    <x v="53"/>
    <x v="2"/>
    <x v="1"/>
  </r>
  <r>
    <n v="148338824"/>
    <x v="126"/>
    <x v="201"/>
    <x v="0"/>
    <n v="39"/>
    <s v="month"/>
    <x v="28"/>
    <x v="2"/>
    <x v="1"/>
  </r>
  <r>
    <n v="181712692"/>
    <x v="126"/>
    <x v="261"/>
    <x v="0"/>
    <n v="39"/>
    <s v="month"/>
    <x v="11"/>
    <x v="2"/>
    <x v="1"/>
  </r>
  <r>
    <n v="181770777"/>
    <x v="127"/>
    <x v="0"/>
    <x v="0"/>
    <n v="39"/>
    <s v="month"/>
    <x v="0"/>
    <x v="3"/>
    <x v="1"/>
  </r>
  <r>
    <n v="161269602"/>
    <x v="127"/>
    <x v="193"/>
    <x v="0"/>
    <n v="39"/>
    <s v="month"/>
    <x v="11"/>
    <x v="3"/>
    <x v="1"/>
  </r>
  <r>
    <n v="145799416"/>
    <x v="127"/>
    <x v="91"/>
    <x v="0"/>
    <n v="39"/>
    <s v="month"/>
    <x v="156"/>
    <x v="3"/>
    <x v="1"/>
  </r>
  <r>
    <n v="182753953"/>
    <x v="127"/>
    <x v="145"/>
    <x v="0"/>
    <n v="39"/>
    <s v="month"/>
    <x v="93"/>
    <x v="3"/>
    <x v="1"/>
  </r>
  <r>
    <n v="162944728"/>
    <x v="127"/>
    <x v="50"/>
    <x v="0"/>
    <n v="39"/>
    <s v="month"/>
    <x v="55"/>
    <x v="3"/>
    <x v="1"/>
  </r>
  <r>
    <n v="161249852"/>
    <x v="127"/>
    <x v="25"/>
    <x v="0"/>
    <n v="39"/>
    <s v="month"/>
    <x v="42"/>
    <x v="3"/>
    <x v="1"/>
  </r>
  <r>
    <n v="183916833"/>
    <x v="128"/>
    <x v="0"/>
    <x v="0"/>
    <n v="39"/>
    <s v="month"/>
    <x v="0"/>
    <x v="4"/>
    <x v="1"/>
  </r>
  <r>
    <n v="169141612"/>
    <x v="128"/>
    <x v="138"/>
    <x v="1"/>
    <n v="39"/>
    <s v="month"/>
    <x v="1"/>
    <x v="4"/>
    <x v="1"/>
  </r>
  <r>
    <n v="128768010"/>
    <x v="128"/>
    <x v="224"/>
    <x v="0"/>
    <n v="39"/>
    <s v="month"/>
    <x v="175"/>
    <x v="4"/>
    <x v="1"/>
  </r>
  <r>
    <n v="138520918"/>
    <x v="128"/>
    <x v="226"/>
    <x v="0"/>
    <n v="39"/>
    <s v="month"/>
    <x v="11"/>
    <x v="4"/>
    <x v="1"/>
  </r>
  <r>
    <n v="162946328"/>
    <x v="128"/>
    <x v="4"/>
    <x v="0"/>
    <n v="39"/>
    <s v="month"/>
    <x v="68"/>
    <x v="4"/>
    <x v="1"/>
  </r>
  <r>
    <n v="182929556"/>
    <x v="128"/>
    <x v="17"/>
    <x v="0"/>
    <n v="39"/>
    <s v="month"/>
    <x v="53"/>
    <x v="4"/>
    <x v="1"/>
  </r>
  <r>
    <n v="153704184"/>
    <x v="128"/>
    <x v="239"/>
    <x v="0"/>
    <n v="39"/>
    <s v="month"/>
    <x v="75"/>
    <x v="4"/>
    <x v="1"/>
  </r>
  <r>
    <n v="136326172"/>
    <x v="128"/>
    <x v="278"/>
    <x v="0"/>
    <n v="39"/>
    <s v="month"/>
    <x v="27"/>
    <x v="4"/>
    <x v="1"/>
  </r>
  <r>
    <n v="182505210"/>
    <x v="128"/>
    <x v="35"/>
    <x v="0"/>
    <n v="39"/>
    <s v="month"/>
    <x v="35"/>
    <x v="4"/>
    <x v="1"/>
  </r>
  <r>
    <n v="184370857"/>
    <x v="129"/>
    <x v="0"/>
    <x v="0"/>
    <n v="39"/>
    <s v="month"/>
    <x v="0"/>
    <x v="5"/>
    <x v="1"/>
  </r>
  <r>
    <n v="184310344"/>
    <x v="129"/>
    <x v="246"/>
    <x v="0"/>
    <n v="39"/>
    <s v="month"/>
    <x v="53"/>
    <x v="5"/>
    <x v="1"/>
  </r>
  <r>
    <n v="183346055"/>
    <x v="129"/>
    <x v="137"/>
    <x v="0"/>
    <n v="39"/>
    <s v="month"/>
    <x v="177"/>
    <x v="5"/>
    <x v="1"/>
  </r>
  <r>
    <n v="178952278"/>
    <x v="129"/>
    <x v="227"/>
    <x v="0"/>
    <n v="39"/>
    <s v="month"/>
    <x v="8"/>
    <x v="5"/>
    <x v="1"/>
  </r>
  <r>
    <n v="184345202"/>
    <x v="129"/>
    <x v="184"/>
    <x v="0"/>
    <n v="39"/>
    <s v="month"/>
    <x v="34"/>
    <x v="5"/>
    <x v="1"/>
  </r>
  <r>
    <n v="182837162"/>
    <x v="129"/>
    <x v="221"/>
    <x v="0"/>
    <n v="39"/>
    <s v="month"/>
    <x v="20"/>
    <x v="5"/>
    <x v="1"/>
  </r>
  <r>
    <n v="182927038"/>
    <x v="129"/>
    <x v="198"/>
    <x v="0"/>
    <n v="39"/>
    <s v="month"/>
    <x v="179"/>
    <x v="5"/>
    <x v="1"/>
  </r>
  <r>
    <n v="181739784"/>
    <x v="129"/>
    <x v="35"/>
    <x v="0"/>
    <n v="39"/>
    <s v="month"/>
    <x v="72"/>
    <x v="5"/>
    <x v="1"/>
  </r>
  <r>
    <n v="178605410"/>
    <x v="129"/>
    <x v="280"/>
    <x v="0"/>
    <n v="39"/>
    <s v="month"/>
    <x v="87"/>
    <x v="5"/>
    <x v="1"/>
  </r>
  <r>
    <n v="184334484"/>
    <x v="130"/>
    <x v="0"/>
    <x v="0"/>
    <n v="39"/>
    <s v="month"/>
    <x v="0"/>
    <x v="6"/>
    <x v="1"/>
  </r>
  <r>
    <n v="181576265"/>
    <x v="130"/>
    <x v="0"/>
    <x v="0"/>
    <n v="39"/>
    <s v="month"/>
    <x v="0"/>
    <x v="6"/>
    <x v="1"/>
  </r>
  <r>
    <n v="183645116"/>
    <x v="130"/>
    <x v="0"/>
    <x v="0"/>
    <n v="39"/>
    <s v="month"/>
    <x v="0"/>
    <x v="6"/>
    <x v="1"/>
  </r>
  <r>
    <n v="184812094"/>
    <x v="130"/>
    <x v="114"/>
    <x v="0"/>
    <n v="39"/>
    <s v="month"/>
    <x v="5"/>
    <x v="6"/>
    <x v="1"/>
  </r>
  <r>
    <n v="152089648"/>
    <x v="130"/>
    <x v="259"/>
    <x v="0"/>
    <n v="39"/>
    <s v="month"/>
    <x v="177"/>
    <x v="6"/>
    <x v="1"/>
  </r>
  <r>
    <n v="148710968"/>
    <x v="130"/>
    <x v="201"/>
    <x v="0"/>
    <n v="39"/>
    <s v="month"/>
    <x v="62"/>
    <x v="6"/>
    <x v="1"/>
  </r>
  <r>
    <n v="183197132"/>
    <x v="131"/>
    <x v="0"/>
    <x v="0"/>
    <n v="39"/>
    <s v="month"/>
    <x v="0"/>
    <x v="0"/>
    <x v="1"/>
  </r>
  <r>
    <n v="156239744"/>
    <x v="131"/>
    <x v="0"/>
    <x v="0"/>
    <n v="39"/>
    <s v="month"/>
    <x v="0"/>
    <x v="0"/>
    <x v="1"/>
  </r>
  <r>
    <n v="184481262"/>
    <x v="131"/>
    <x v="0"/>
    <x v="0"/>
    <n v="39"/>
    <s v="month"/>
    <x v="0"/>
    <x v="0"/>
    <x v="1"/>
  </r>
  <r>
    <n v="153186137"/>
    <x v="131"/>
    <x v="245"/>
    <x v="0"/>
    <n v="39"/>
    <s v="month"/>
    <x v="1"/>
    <x v="0"/>
    <x v="1"/>
  </r>
  <r>
    <n v="185374268"/>
    <x v="131"/>
    <x v="245"/>
    <x v="1"/>
    <n v="39"/>
    <s v="month"/>
    <x v="1"/>
    <x v="0"/>
    <x v="1"/>
  </r>
  <r>
    <n v="185367349"/>
    <x v="131"/>
    <x v="245"/>
    <x v="1"/>
    <n v="39"/>
    <s v="month"/>
    <x v="1"/>
    <x v="0"/>
    <x v="1"/>
  </r>
  <r>
    <n v="150793080"/>
    <x v="131"/>
    <x v="50"/>
    <x v="0"/>
    <n v="39"/>
    <s v="month"/>
    <x v="122"/>
    <x v="0"/>
    <x v="1"/>
  </r>
  <r>
    <n v="183406772"/>
    <x v="131"/>
    <x v="281"/>
    <x v="0"/>
    <n v="39"/>
    <s v="month"/>
    <x v="55"/>
    <x v="0"/>
    <x v="1"/>
  </r>
  <r>
    <n v="175760281"/>
    <x v="131"/>
    <x v="153"/>
    <x v="0"/>
    <n v="39"/>
    <s v="month"/>
    <x v="28"/>
    <x v="0"/>
    <x v="1"/>
  </r>
  <r>
    <n v="162095012"/>
    <x v="131"/>
    <x v="84"/>
    <x v="0"/>
    <n v="39"/>
    <s v="month"/>
    <x v="214"/>
    <x v="0"/>
    <x v="1"/>
  </r>
  <r>
    <n v="179356036"/>
    <x v="131"/>
    <x v="224"/>
    <x v="0"/>
    <n v="39"/>
    <s v="month"/>
    <x v="11"/>
    <x v="0"/>
    <x v="1"/>
  </r>
  <r>
    <n v="184567432"/>
    <x v="131"/>
    <x v="115"/>
    <x v="0"/>
    <n v="39"/>
    <s v="month"/>
    <x v="125"/>
    <x v="0"/>
    <x v="1"/>
  </r>
  <r>
    <n v="185503171"/>
    <x v="131"/>
    <x v="209"/>
    <x v="0"/>
    <n v="39"/>
    <s v="month"/>
    <x v="123"/>
    <x v="0"/>
    <x v="1"/>
  </r>
  <r>
    <n v="171922477"/>
    <x v="131"/>
    <x v="99"/>
    <x v="0"/>
    <n v="39"/>
    <s v="month"/>
    <x v="180"/>
    <x v="0"/>
    <x v="1"/>
  </r>
  <r>
    <n v="144830936"/>
    <x v="131"/>
    <x v="282"/>
    <x v="0"/>
    <n v="39"/>
    <s v="month"/>
    <x v="120"/>
    <x v="0"/>
    <x v="1"/>
  </r>
  <r>
    <n v="157474087"/>
    <x v="132"/>
    <x v="0"/>
    <x v="0"/>
    <n v="39"/>
    <s v="month"/>
    <x v="0"/>
    <x v="1"/>
    <x v="1"/>
  </r>
  <r>
    <n v="182350116"/>
    <x v="132"/>
    <x v="0"/>
    <x v="0"/>
    <n v="39"/>
    <s v="month"/>
    <x v="0"/>
    <x v="1"/>
    <x v="1"/>
  </r>
  <r>
    <n v="132867770"/>
    <x v="132"/>
    <x v="83"/>
    <x v="0"/>
    <n v="39"/>
    <s v="month"/>
    <x v="1"/>
    <x v="1"/>
    <x v="1"/>
  </r>
  <r>
    <n v="185561880"/>
    <x v="132"/>
    <x v="83"/>
    <x v="1"/>
    <n v="39"/>
    <s v="month"/>
    <x v="1"/>
    <x v="1"/>
    <x v="1"/>
  </r>
  <r>
    <n v="168884196"/>
    <x v="132"/>
    <x v="128"/>
    <x v="0"/>
    <n v="39"/>
    <s v="month"/>
    <x v="6"/>
    <x v="1"/>
    <x v="1"/>
  </r>
  <r>
    <n v="161269602"/>
    <x v="132"/>
    <x v="230"/>
    <x v="0"/>
    <n v="39"/>
    <s v="month"/>
    <x v="87"/>
    <x v="1"/>
    <x v="1"/>
  </r>
  <r>
    <n v="185729058"/>
    <x v="133"/>
    <x v="274"/>
    <x v="0"/>
    <n v="39"/>
    <s v="month"/>
    <x v="158"/>
    <x v="2"/>
    <x v="1"/>
  </r>
  <r>
    <n v="182527446"/>
    <x v="133"/>
    <x v="243"/>
    <x v="0"/>
    <n v="39"/>
    <s v="month"/>
    <x v="212"/>
    <x v="2"/>
    <x v="1"/>
  </r>
  <r>
    <n v="151217806"/>
    <x v="133"/>
    <x v="281"/>
    <x v="0"/>
    <n v="39"/>
    <s v="month"/>
    <x v="43"/>
    <x v="2"/>
    <x v="1"/>
  </r>
  <r>
    <n v="181789030"/>
    <x v="133"/>
    <x v="221"/>
    <x v="0"/>
    <n v="39"/>
    <s v="month"/>
    <x v="2"/>
    <x v="2"/>
    <x v="1"/>
  </r>
  <r>
    <n v="167939138"/>
    <x v="133"/>
    <x v="279"/>
    <x v="0"/>
    <n v="39"/>
    <s v="month"/>
    <x v="92"/>
    <x v="2"/>
    <x v="1"/>
  </r>
  <r>
    <n v="168531226"/>
    <x v="133"/>
    <x v="283"/>
    <x v="0"/>
    <n v="39"/>
    <s v="month"/>
    <x v="215"/>
    <x v="2"/>
    <x v="1"/>
  </r>
  <r>
    <n v="183965840"/>
    <x v="134"/>
    <x v="0"/>
    <x v="0"/>
    <n v="39"/>
    <s v="month"/>
    <x v="0"/>
    <x v="3"/>
    <x v="1"/>
  </r>
  <r>
    <n v="185522938"/>
    <x v="134"/>
    <x v="284"/>
    <x v="0"/>
    <n v="39"/>
    <s v="month"/>
    <x v="216"/>
    <x v="3"/>
    <x v="1"/>
  </r>
  <r>
    <n v="186413122"/>
    <x v="134"/>
    <x v="101"/>
    <x v="0"/>
    <n v="39"/>
    <s v="month"/>
    <x v="133"/>
    <x v="3"/>
    <x v="1"/>
  </r>
  <r>
    <n v="186481916"/>
    <x v="134"/>
    <x v="23"/>
    <x v="0"/>
    <n v="39"/>
    <s v="month"/>
    <x v="53"/>
    <x v="3"/>
    <x v="1"/>
  </r>
  <r>
    <n v="186177212"/>
    <x v="134"/>
    <x v="191"/>
    <x v="0"/>
    <n v="39"/>
    <s v="month"/>
    <x v="187"/>
    <x v="3"/>
    <x v="1"/>
  </r>
  <r>
    <n v="184809175"/>
    <x v="134"/>
    <x v="191"/>
    <x v="0"/>
    <n v="39"/>
    <s v="month"/>
    <x v="187"/>
    <x v="3"/>
    <x v="1"/>
  </r>
  <r>
    <n v="186690790"/>
    <x v="134"/>
    <x v="33"/>
    <x v="0"/>
    <n v="39"/>
    <s v="month"/>
    <x v="109"/>
    <x v="3"/>
    <x v="1"/>
  </r>
  <r>
    <n v="185711685"/>
    <x v="134"/>
    <x v="136"/>
    <x v="0"/>
    <n v="39"/>
    <s v="month"/>
    <x v="2"/>
    <x v="3"/>
    <x v="1"/>
  </r>
  <r>
    <n v="179509273"/>
    <x v="134"/>
    <x v="187"/>
    <x v="0"/>
    <n v="39"/>
    <s v="month"/>
    <x v="195"/>
    <x v="3"/>
    <x v="1"/>
  </r>
  <r>
    <n v="186770408"/>
    <x v="135"/>
    <x v="0"/>
    <x v="0"/>
    <n v="39"/>
    <s v="month"/>
    <x v="0"/>
    <x v="4"/>
    <x v="1"/>
  </r>
  <r>
    <n v="181025165"/>
    <x v="135"/>
    <x v="0"/>
    <x v="0"/>
    <n v="39"/>
    <s v="month"/>
    <x v="0"/>
    <x v="4"/>
    <x v="1"/>
  </r>
  <r>
    <n v="157919304"/>
    <x v="135"/>
    <x v="58"/>
    <x v="0"/>
    <n v="39"/>
    <s v="month"/>
    <x v="31"/>
    <x v="4"/>
    <x v="1"/>
  </r>
  <r>
    <n v="187051266"/>
    <x v="135"/>
    <x v="285"/>
    <x v="0"/>
    <n v="39"/>
    <s v="month"/>
    <x v="217"/>
    <x v="4"/>
    <x v="1"/>
  </r>
  <r>
    <n v="179713052"/>
    <x v="135"/>
    <x v="286"/>
    <x v="0"/>
    <n v="39"/>
    <s v="month"/>
    <x v="75"/>
    <x v="4"/>
    <x v="1"/>
  </r>
  <r>
    <n v="185431487"/>
    <x v="135"/>
    <x v="287"/>
    <x v="0"/>
    <n v="39"/>
    <s v="month"/>
    <x v="181"/>
    <x v="4"/>
    <x v="1"/>
  </r>
  <r>
    <n v="157929345"/>
    <x v="135"/>
    <x v="114"/>
    <x v="0"/>
    <n v="39"/>
    <s v="month"/>
    <x v="18"/>
    <x v="4"/>
    <x v="1"/>
  </r>
  <r>
    <n v="154087095"/>
    <x v="135"/>
    <x v="32"/>
    <x v="0"/>
    <n v="39"/>
    <s v="month"/>
    <x v="109"/>
    <x v="4"/>
    <x v="1"/>
  </r>
  <r>
    <n v="186674235"/>
    <x v="135"/>
    <x v="218"/>
    <x v="0"/>
    <n v="39"/>
    <s v="month"/>
    <x v="110"/>
    <x v="4"/>
    <x v="1"/>
  </r>
  <r>
    <n v="182656156"/>
    <x v="135"/>
    <x v="59"/>
    <x v="0"/>
    <n v="39"/>
    <s v="month"/>
    <x v="35"/>
    <x v="4"/>
    <x v="1"/>
  </r>
  <r>
    <n v="170319875"/>
    <x v="135"/>
    <x v="104"/>
    <x v="0"/>
    <n v="39"/>
    <s v="month"/>
    <x v="11"/>
    <x v="4"/>
    <x v="1"/>
  </r>
  <r>
    <n v="188226033"/>
    <x v="136"/>
    <x v="0"/>
    <x v="1"/>
    <n v="39"/>
    <s v="month"/>
    <x v="0"/>
    <x v="5"/>
    <x v="1"/>
  </r>
  <r>
    <n v="188137320"/>
    <x v="136"/>
    <x v="0"/>
    <x v="1"/>
    <n v="39"/>
    <s v="month"/>
    <x v="0"/>
    <x v="5"/>
    <x v="1"/>
  </r>
  <r>
    <n v="163220556"/>
    <x v="136"/>
    <x v="117"/>
    <x v="0"/>
    <n v="39"/>
    <s v="month"/>
    <x v="1"/>
    <x v="5"/>
    <x v="1"/>
  </r>
  <r>
    <n v="182960960"/>
    <x v="136"/>
    <x v="272"/>
    <x v="0"/>
    <n v="39"/>
    <s v="month"/>
    <x v="177"/>
    <x v="5"/>
    <x v="1"/>
  </r>
  <r>
    <n v="188175982"/>
    <x v="136"/>
    <x v="280"/>
    <x v="0"/>
    <n v="39"/>
    <s v="month"/>
    <x v="28"/>
    <x v="5"/>
    <x v="1"/>
  </r>
  <r>
    <n v="169729060"/>
    <x v="136"/>
    <x v="26"/>
    <x v="0"/>
    <n v="39"/>
    <s v="month"/>
    <x v="156"/>
    <x v="5"/>
    <x v="1"/>
  </r>
  <r>
    <n v="186841270"/>
    <x v="136"/>
    <x v="202"/>
    <x v="0"/>
    <n v="39"/>
    <s v="month"/>
    <x v="87"/>
    <x v="5"/>
    <x v="1"/>
  </r>
  <r>
    <n v="154563993"/>
    <x v="136"/>
    <x v="264"/>
    <x v="0"/>
    <n v="39"/>
    <s v="month"/>
    <x v="179"/>
    <x v="5"/>
    <x v="1"/>
  </r>
  <r>
    <n v="159767828"/>
    <x v="136"/>
    <x v="202"/>
    <x v="0"/>
    <n v="39"/>
    <s v="month"/>
    <x v="87"/>
    <x v="5"/>
    <x v="1"/>
  </r>
  <r>
    <n v="183186612"/>
    <x v="136"/>
    <x v="176"/>
    <x v="0"/>
    <n v="39"/>
    <s v="month"/>
    <x v="218"/>
    <x v="5"/>
    <x v="1"/>
  </r>
  <r>
    <n v="128603349"/>
    <x v="137"/>
    <x v="0"/>
    <x v="0"/>
    <n v="39"/>
    <s v="month"/>
    <x v="0"/>
    <x v="6"/>
    <x v="1"/>
  </r>
  <r>
    <n v="183736457"/>
    <x v="137"/>
    <x v="229"/>
    <x v="1"/>
    <n v="39"/>
    <s v="month"/>
    <x v="1"/>
    <x v="6"/>
    <x v="1"/>
  </r>
  <r>
    <n v="188115641"/>
    <x v="137"/>
    <x v="117"/>
    <x v="1"/>
    <n v="39"/>
    <s v="month"/>
    <x v="11"/>
    <x v="6"/>
    <x v="1"/>
  </r>
  <r>
    <n v="188460699"/>
    <x v="137"/>
    <x v="117"/>
    <x v="1"/>
    <n v="39"/>
    <s v="month"/>
    <x v="11"/>
    <x v="6"/>
    <x v="1"/>
  </r>
  <r>
    <n v="138228332"/>
    <x v="137"/>
    <x v="264"/>
    <x v="0"/>
    <n v="39"/>
    <s v="month"/>
    <x v="87"/>
    <x v="6"/>
    <x v="1"/>
  </r>
  <r>
    <n v="184143564"/>
    <x v="137"/>
    <x v="288"/>
    <x v="0"/>
    <n v="39"/>
    <s v="month"/>
    <x v="121"/>
    <x v="6"/>
    <x v="1"/>
  </r>
  <r>
    <n v="179508142"/>
    <x v="137"/>
    <x v="232"/>
    <x v="0"/>
    <n v="39"/>
    <s v="month"/>
    <x v="219"/>
    <x v="6"/>
    <x v="1"/>
  </r>
  <r>
    <n v="188269607"/>
    <x v="137"/>
    <x v="23"/>
    <x v="0"/>
    <n v="39"/>
    <s v="month"/>
    <x v="138"/>
    <x v="6"/>
    <x v="1"/>
  </r>
  <r>
    <n v="181890100"/>
    <x v="137"/>
    <x v="208"/>
    <x v="0"/>
    <n v="39"/>
    <s v="month"/>
    <x v="210"/>
    <x v="6"/>
    <x v="1"/>
  </r>
  <r>
    <n v="185642830"/>
    <x v="137"/>
    <x v="218"/>
    <x v="0"/>
    <n v="39"/>
    <s v="month"/>
    <x v="13"/>
    <x v="6"/>
    <x v="1"/>
  </r>
  <r>
    <n v="152223051"/>
    <x v="137"/>
    <x v="264"/>
    <x v="0"/>
    <n v="39"/>
    <s v="month"/>
    <x v="87"/>
    <x v="6"/>
    <x v="1"/>
  </r>
  <r>
    <n v="156067850"/>
    <x v="137"/>
    <x v="198"/>
    <x v="0"/>
    <n v="39"/>
    <s v="month"/>
    <x v="28"/>
    <x v="6"/>
    <x v="1"/>
  </r>
  <r>
    <n v="188701816"/>
    <x v="137"/>
    <x v="280"/>
    <x v="0"/>
    <n v="39"/>
    <s v="month"/>
    <x v="35"/>
    <x v="6"/>
    <x v="1"/>
  </r>
  <r>
    <n v="188133192"/>
    <x v="137"/>
    <x v="26"/>
    <x v="0"/>
    <n v="39"/>
    <s v="month"/>
    <x v="50"/>
    <x v="6"/>
    <x v="1"/>
  </r>
  <r>
    <n v="183936068"/>
    <x v="137"/>
    <x v="244"/>
    <x v="0"/>
    <n v="39"/>
    <s v="month"/>
    <x v="195"/>
    <x v="6"/>
    <x v="1"/>
  </r>
  <r>
    <n v="188119778"/>
    <x v="137"/>
    <x v="180"/>
    <x v="0"/>
    <n v="39"/>
    <s v="month"/>
    <x v="172"/>
    <x v="6"/>
    <x v="1"/>
  </r>
  <r>
    <n v="189410056"/>
    <x v="138"/>
    <x v="0"/>
    <x v="0"/>
    <n v="39"/>
    <s v="month"/>
    <x v="0"/>
    <x v="0"/>
    <x v="1"/>
  </r>
  <r>
    <n v="184970659"/>
    <x v="138"/>
    <x v="0"/>
    <x v="0"/>
    <n v="39"/>
    <s v="month"/>
    <x v="0"/>
    <x v="0"/>
    <x v="1"/>
  </r>
  <r>
    <n v="148476648"/>
    <x v="138"/>
    <x v="82"/>
    <x v="0"/>
    <n v="39"/>
    <s v="month"/>
    <x v="91"/>
    <x v="0"/>
    <x v="1"/>
  </r>
  <r>
    <n v="189289885"/>
    <x v="138"/>
    <x v="289"/>
    <x v="0"/>
    <n v="39"/>
    <s v="month"/>
    <x v="53"/>
    <x v="0"/>
    <x v="1"/>
  </r>
  <r>
    <n v="150442182"/>
    <x v="138"/>
    <x v="277"/>
    <x v="0"/>
    <n v="39"/>
    <s v="month"/>
    <x v="26"/>
    <x v="0"/>
    <x v="1"/>
  </r>
  <r>
    <n v="184826230"/>
    <x v="138"/>
    <x v="59"/>
    <x v="0"/>
    <n v="39"/>
    <s v="month"/>
    <x v="62"/>
    <x v="0"/>
    <x v="1"/>
  </r>
  <r>
    <n v="184786342"/>
    <x v="138"/>
    <x v="229"/>
    <x v="0"/>
    <n v="39"/>
    <s v="month"/>
    <x v="11"/>
    <x v="0"/>
    <x v="1"/>
  </r>
  <r>
    <n v="181565760"/>
    <x v="138"/>
    <x v="134"/>
    <x v="0"/>
    <n v="39"/>
    <s v="month"/>
    <x v="42"/>
    <x v="0"/>
    <x v="1"/>
  </r>
  <r>
    <n v="189278478"/>
    <x v="139"/>
    <x v="0"/>
    <x v="0"/>
    <n v="39"/>
    <s v="month"/>
    <x v="0"/>
    <x v="1"/>
    <x v="1"/>
  </r>
  <r>
    <n v="184066428"/>
    <x v="139"/>
    <x v="0"/>
    <x v="0"/>
    <n v="39"/>
    <s v="month"/>
    <x v="0"/>
    <x v="1"/>
    <x v="1"/>
  </r>
  <r>
    <n v="135771077"/>
    <x v="139"/>
    <x v="0"/>
    <x v="0"/>
    <n v="39"/>
    <s v="month"/>
    <x v="0"/>
    <x v="1"/>
    <x v="1"/>
  </r>
  <r>
    <n v="184831280"/>
    <x v="139"/>
    <x v="96"/>
    <x v="0"/>
    <n v="39"/>
    <s v="month"/>
    <x v="107"/>
    <x v="1"/>
    <x v="1"/>
  </r>
  <r>
    <n v="188828652"/>
    <x v="139"/>
    <x v="251"/>
    <x v="0"/>
    <n v="39"/>
    <s v="month"/>
    <x v="220"/>
    <x v="1"/>
    <x v="1"/>
  </r>
  <r>
    <n v="188666673"/>
    <x v="139"/>
    <x v="278"/>
    <x v="0"/>
    <n v="39"/>
    <s v="month"/>
    <x v="155"/>
    <x v="1"/>
    <x v="1"/>
  </r>
  <r>
    <n v="189880452"/>
    <x v="139"/>
    <x v="26"/>
    <x v="0"/>
    <n v="39"/>
    <s v="month"/>
    <x v="35"/>
    <x v="1"/>
    <x v="1"/>
  </r>
  <r>
    <n v="160986271"/>
    <x v="139"/>
    <x v="188"/>
    <x v="0"/>
    <n v="39"/>
    <s v="month"/>
    <x v="87"/>
    <x v="1"/>
    <x v="1"/>
  </r>
  <r>
    <n v="187895888"/>
    <x v="139"/>
    <x v="206"/>
    <x v="0"/>
    <n v="39"/>
    <s v="month"/>
    <x v="15"/>
    <x v="1"/>
    <x v="1"/>
  </r>
  <r>
    <n v="190871376"/>
    <x v="140"/>
    <x v="0"/>
    <x v="0"/>
    <n v="39"/>
    <s v="month"/>
    <x v="0"/>
    <x v="2"/>
    <x v="1"/>
  </r>
  <r>
    <n v="166750222"/>
    <x v="140"/>
    <x v="101"/>
    <x v="0"/>
    <n v="39"/>
    <s v="month"/>
    <x v="220"/>
    <x v="2"/>
    <x v="1"/>
  </r>
  <r>
    <n v="189360536"/>
    <x v="140"/>
    <x v="152"/>
    <x v="0"/>
    <n v="39"/>
    <s v="month"/>
    <x v="166"/>
    <x v="2"/>
    <x v="1"/>
  </r>
  <r>
    <n v="188197564"/>
    <x v="140"/>
    <x v="289"/>
    <x v="0"/>
    <n v="39"/>
    <s v="month"/>
    <x v="75"/>
    <x v="2"/>
    <x v="1"/>
  </r>
  <r>
    <n v="191034251"/>
    <x v="140"/>
    <x v="59"/>
    <x v="0"/>
    <n v="39"/>
    <s v="month"/>
    <x v="9"/>
    <x v="2"/>
    <x v="1"/>
  </r>
  <r>
    <n v="182972593"/>
    <x v="140"/>
    <x v="247"/>
    <x v="0"/>
    <n v="39"/>
    <s v="month"/>
    <x v="214"/>
    <x v="2"/>
    <x v="1"/>
  </r>
  <r>
    <n v="182958960"/>
    <x v="141"/>
    <x v="115"/>
    <x v="0"/>
    <n v="39"/>
    <s v="month"/>
    <x v="1"/>
    <x v="3"/>
    <x v="1"/>
  </r>
  <r>
    <n v="163220556"/>
    <x v="141"/>
    <x v="162"/>
    <x v="0"/>
    <n v="39"/>
    <s v="month"/>
    <x v="192"/>
    <x v="3"/>
    <x v="1"/>
  </r>
  <r>
    <n v="191730833"/>
    <x v="141"/>
    <x v="233"/>
    <x v="0"/>
    <n v="39"/>
    <s v="month"/>
    <x v="27"/>
    <x v="3"/>
    <x v="1"/>
  </r>
  <r>
    <n v="189680563"/>
    <x v="141"/>
    <x v="233"/>
    <x v="0"/>
    <n v="39"/>
    <s v="month"/>
    <x v="27"/>
    <x v="3"/>
    <x v="1"/>
  </r>
  <r>
    <n v="190666110"/>
    <x v="142"/>
    <x v="0"/>
    <x v="0"/>
    <n v="39"/>
    <s v="month"/>
    <x v="0"/>
    <x v="4"/>
    <x v="1"/>
  </r>
  <r>
    <n v="180622613"/>
    <x v="142"/>
    <x v="0"/>
    <x v="0"/>
    <n v="39"/>
    <s v="month"/>
    <x v="0"/>
    <x v="4"/>
    <x v="1"/>
  </r>
  <r>
    <n v="188827172"/>
    <x v="142"/>
    <x v="0"/>
    <x v="0"/>
    <n v="39"/>
    <s v="month"/>
    <x v="0"/>
    <x v="4"/>
    <x v="1"/>
  </r>
  <r>
    <n v="188068965"/>
    <x v="142"/>
    <x v="159"/>
    <x v="0"/>
    <n v="39"/>
    <s v="month"/>
    <x v="145"/>
    <x v="4"/>
    <x v="1"/>
  </r>
  <r>
    <n v="182958960"/>
    <x v="142"/>
    <x v="161"/>
    <x v="0"/>
    <n v="39"/>
    <s v="month"/>
    <x v="87"/>
    <x v="4"/>
    <x v="1"/>
  </r>
  <r>
    <n v="191999674"/>
    <x v="142"/>
    <x v="206"/>
    <x v="0"/>
    <n v="39"/>
    <s v="month"/>
    <x v="86"/>
    <x v="4"/>
    <x v="1"/>
  </r>
  <r>
    <n v="183451114"/>
    <x v="142"/>
    <x v="211"/>
    <x v="0"/>
    <n v="39"/>
    <s v="month"/>
    <x v="17"/>
    <x v="4"/>
    <x v="1"/>
  </r>
  <r>
    <n v="191807491"/>
    <x v="143"/>
    <x v="0"/>
    <x v="0"/>
    <n v="39"/>
    <s v="month"/>
    <x v="0"/>
    <x v="5"/>
    <x v="1"/>
  </r>
  <r>
    <n v="157833252"/>
    <x v="143"/>
    <x v="290"/>
    <x v="0"/>
    <n v="39"/>
    <s v="month"/>
    <x v="221"/>
    <x v="5"/>
    <x v="1"/>
  </r>
  <r>
    <n v="188162430"/>
    <x v="143"/>
    <x v="291"/>
    <x v="0"/>
    <n v="39"/>
    <s v="month"/>
    <x v="222"/>
    <x v="5"/>
    <x v="1"/>
  </r>
  <r>
    <n v="190733249"/>
    <x v="143"/>
    <x v="253"/>
    <x v="0"/>
    <n v="39"/>
    <s v="month"/>
    <x v="13"/>
    <x v="5"/>
    <x v="1"/>
  </r>
  <r>
    <n v="192539054"/>
    <x v="143"/>
    <x v="271"/>
    <x v="0"/>
    <n v="39"/>
    <s v="month"/>
    <x v="167"/>
    <x v="5"/>
    <x v="1"/>
  </r>
  <r>
    <n v="193572822"/>
    <x v="143"/>
    <x v="230"/>
    <x v="0"/>
    <n v="39"/>
    <s v="month"/>
    <x v="62"/>
    <x v="5"/>
    <x v="1"/>
  </r>
  <r>
    <n v="141399368"/>
    <x v="144"/>
    <x v="0"/>
    <x v="0"/>
    <n v="39"/>
    <s v="month"/>
    <x v="0"/>
    <x v="6"/>
    <x v="1"/>
  </r>
  <r>
    <n v="193285633"/>
    <x v="144"/>
    <x v="0"/>
    <x v="0"/>
    <n v="39"/>
    <s v="month"/>
    <x v="0"/>
    <x v="6"/>
    <x v="1"/>
  </r>
  <r>
    <n v="193891378"/>
    <x v="144"/>
    <x v="0"/>
    <x v="0"/>
    <n v="39"/>
    <s v="month"/>
    <x v="0"/>
    <x v="6"/>
    <x v="1"/>
  </r>
  <r>
    <n v="153628260"/>
    <x v="144"/>
    <x v="134"/>
    <x v="0"/>
    <n v="39"/>
    <s v="month"/>
    <x v="1"/>
    <x v="6"/>
    <x v="1"/>
  </r>
  <r>
    <n v="194719566"/>
    <x v="144"/>
    <x v="84"/>
    <x v="1"/>
    <n v="39"/>
    <s v="month"/>
    <x v="11"/>
    <x v="6"/>
    <x v="1"/>
  </r>
  <r>
    <n v="176559401"/>
    <x v="144"/>
    <x v="84"/>
    <x v="1"/>
    <n v="39"/>
    <s v="month"/>
    <x v="11"/>
    <x v="6"/>
    <x v="1"/>
  </r>
  <r>
    <n v="150178354"/>
    <x v="144"/>
    <x v="45"/>
    <x v="0"/>
    <n v="39"/>
    <s v="month"/>
    <x v="31"/>
    <x v="6"/>
    <x v="1"/>
  </r>
  <r>
    <n v="192395073"/>
    <x v="144"/>
    <x v="128"/>
    <x v="0"/>
    <n v="39"/>
    <s v="month"/>
    <x v="114"/>
    <x v="6"/>
    <x v="1"/>
  </r>
  <r>
    <n v="152690237"/>
    <x v="144"/>
    <x v="223"/>
    <x v="0"/>
    <n v="39"/>
    <s v="month"/>
    <x v="109"/>
    <x v="6"/>
    <x v="1"/>
  </r>
  <r>
    <n v="151572886"/>
    <x v="144"/>
    <x v="33"/>
    <x v="0"/>
    <n v="39"/>
    <s v="month"/>
    <x v="192"/>
    <x v="6"/>
    <x v="1"/>
  </r>
  <r>
    <n v="193869975"/>
    <x v="144"/>
    <x v="142"/>
    <x v="0"/>
    <n v="39"/>
    <s v="month"/>
    <x v="78"/>
    <x v="6"/>
    <x v="1"/>
  </r>
  <r>
    <n v="175077871"/>
    <x v="144"/>
    <x v="142"/>
    <x v="0"/>
    <n v="39"/>
    <s v="month"/>
    <x v="78"/>
    <x v="6"/>
    <x v="1"/>
  </r>
  <r>
    <n v="193229869"/>
    <x v="144"/>
    <x v="50"/>
    <x v="0"/>
    <n v="39"/>
    <s v="month"/>
    <x v="167"/>
    <x v="6"/>
    <x v="1"/>
  </r>
  <r>
    <n v="189257579"/>
    <x v="145"/>
    <x v="0"/>
    <x v="0"/>
    <n v="39"/>
    <s v="month"/>
    <x v="0"/>
    <x v="0"/>
    <x v="1"/>
  </r>
  <r>
    <n v="184333409"/>
    <x v="145"/>
    <x v="0"/>
    <x v="0"/>
    <n v="39"/>
    <s v="month"/>
    <x v="0"/>
    <x v="0"/>
    <x v="1"/>
  </r>
  <r>
    <n v="144719454"/>
    <x v="145"/>
    <x v="0"/>
    <x v="0"/>
    <n v="39"/>
    <s v="month"/>
    <x v="0"/>
    <x v="0"/>
    <x v="1"/>
  </r>
  <r>
    <n v="195759475"/>
    <x v="145"/>
    <x v="0"/>
    <x v="0"/>
    <n v="39"/>
    <s v="month"/>
    <x v="0"/>
    <x v="0"/>
    <x v="1"/>
  </r>
  <r>
    <n v="167602454"/>
    <x v="145"/>
    <x v="0"/>
    <x v="0"/>
    <n v="39"/>
    <s v="month"/>
    <x v="0"/>
    <x v="0"/>
    <x v="1"/>
  </r>
  <r>
    <n v="148838269"/>
    <x v="145"/>
    <x v="0"/>
    <x v="0"/>
    <n v="39"/>
    <s v="month"/>
    <x v="0"/>
    <x v="0"/>
    <x v="1"/>
  </r>
  <r>
    <n v="195938394"/>
    <x v="145"/>
    <x v="147"/>
    <x v="0"/>
    <n v="39"/>
    <s v="month"/>
    <x v="141"/>
    <x v="0"/>
    <x v="1"/>
  </r>
  <r>
    <n v="194091086"/>
    <x v="145"/>
    <x v="156"/>
    <x v="0"/>
    <n v="39"/>
    <s v="month"/>
    <x v="39"/>
    <x v="0"/>
    <x v="1"/>
  </r>
  <r>
    <n v="181456580"/>
    <x v="145"/>
    <x v="275"/>
    <x v="0"/>
    <n v="39"/>
    <s v="month"/>
    <x v="168"/>
    <x v="0"/>
    <x v="1"/>
  </r>
  <r>
    <n v="169302100"/>
    <x v="145"/>
    <x v="292"/>
    <x v="0"/>
    <n v="39"/>
    <s v="month"/>
    <x v="117"/>
    <x v="0"/>
    <x v="1"/>
  </r>
  <r>
    <n v="180997025"/>
    <x v="145"/>
    <x v="281"/>
    <x v="0"/>
    <n v="39"/>
    <s v="month"/>
    <x v="87"/>
    <x v="0"/>
    <x v="1"/>
  </r>
  <r>
    <n v="196091620"/>
    <x v="145"/>
    <x v="170"/>
    <x v="0"/>
    <n v="39"/>
    <s v="month"/>
    <x v="42"/>
    <x v="0"/>
    <x v="1"/>
  </r>
  <r>
    <n v="189277140"/>
    <x v="145"/>
    <x v="184"/>
    <x v="0"/>
    <n v="39"/>
    <s v="month"/>
    <x v="44"/>
    <x v="0"/>
    <x v="1"/>
  </r>
  <r>
    <n v="195279352"/>
    <x v="145"/>
    <x v="184"/>
    <x v="0"/>
    <n v="39"/>
    <s v="month"/>
    <x v="44"/>
    <x v="0"/>
    <x v="1"/>
  </r>
  <r>
    <n v="191113428"/>
    <x v="145"/>
    <x v="134"/>
    <x v="0"/>
    <n v="39"/>
    <s v="month"/>
    <x v="11"/>
    <x v="0"/>
    <x v="1"/>
  </r>
  <r>
    <n v="193802414"/>
    <x v="145"/>
    <x v="293"/>
    <x v="0"/>
    <n v="39"/>
    <s v="month"/>
    <x v="196"/>
    <x v="0"/>
    <x v="1"/>
  </r>
  <r>
    <n v="115735280"/>
    <x v="146"/>
    <x v="0"/>
    <x v="0"/>
    <n v="39"/>
    <s v="month"/>
    <x v="0"/>
    <x v="1"/>
    <x v="1"/>
  </r>
  <r>
    <n v="153026024"/>
    <x v="146"/>
    <x v="0"/>
    <x v="0"/>
    <n v="39"/>
    <s v="month"/>
    <x v="0"/>
    <x v="1"/>
    <x v="1"/>
  </r>
  <r>
    <n v="196069557"/>
    <x v="146"/>
    <x v="0"/>
    <x v="0"/>
    <n v="39"/>
    <s v="month"/>
    <x v="0"/>
    <x v="1"/>
    <x v="1"/>
  </r>
  <r>
    <n v="193666586"/>
    <x v="146"/>
    <x v="0"/>
    <x v="0"/>
    <n v="39"/>
    <s v="month"/>
    <x v="0"/>
    <x v="1"/>
    <x v="1"/>
  </r>
  <r>
    <n v="192550222"/>
    <x v="146"/>
    <x v="0"/>
    <x v="0"/>
    <n v="39"/>
    <s v="month"/>
    <x v="0"/>
    <x v="1"/>
    <x v="1"/>
  </r>
  <r>
    <n v="196022560"/>
    <x v="146"/>
    <x v="294"/>
    <x v="0"/>
    <n v="39"/>
    <s v="month"/>
    <x v="223"/>
    <x v="1"/>
    <x v="1"/>
  </r>
  <r>
    <n v="196715854"/>
    <x v="146"/>
    <x v="269"/>
    <x v="1"/>
    <n v="39"/>
    <s v="month"/>
    <x v="1"/>
    <x v="1"/>
    <x v="1"/>
  </r>
  <r>
    <n v="196969212"/>
    <x v="146"/>
    <x v="266"/>
    <x v="0"/>
    <n v="39"/>
    <s v="month"/>
    <x v="168"/>
    <x v="1"/>
    <x v="1"/>
  </r>
  <r>
    <n v="196308725"/>
    <x v="146"/>
    <x v="189"/>
    <x v="0"/>
    <n v="39"/>
    <s v="month"/>
    <x v="117"/>
    <x v="1"/>
    <x v="1"/>
  </r>
  <r>
    <n v="196245690"/>
    <x v="146"/>
    <x v="95"/>
    <x v="0"/>
    <n v="39"/>
    <s v="month"/>
    <x v="26"/>
    <x v="1"/>
    <x v="1"/>
  </r>
  <r>
    <n v="195988242"/>
    <x v="146"/>
    <x v="70"/>
    <x v="0"/>
    <n v="39"/>
    <s v="month"/>
    <x v="87"/>
    <x v="1"/>
    <x v="1"/>
  </r>
  <r>
    <n v="192068317"/>
    <x v="146"/>
    <x v="125"/>
    <x v="0"/>
    <n v="39"/>
    <s v="month"/>
    <x v="8"/>
    <x v="1"/>
    <x v="1"/>
  </r>
  <r>
    <n v="195039185"/>
    <x v="146"/>
    <x v="184"/>
    <x v="0"/>
    <n v="39"/>
    <s v="month"/>
    <x v="62"/>
    <x v="1"/>
    <x v="1"/>
  </r>
  <r>
    <n v="188563149"/>
    <x v="146"/>
    <x v="55"/>
    <x v="0"/>
    <n v="39"/>
    <s v="month"/>
    <x v="224"/>
    <x v="1"/>
    <x v="1"/>
  </r>
  <r>
    <n v="188748439"/>
    <x v="146"/>
    <x v="295"/>
    <x v="0"/>
    <n v="39"/>
    <s v="month"/>
    <x v="203"/>
    <x v="1"/>
    <x v="1"/>
  </r>
  <r>
    <n v="160873880"/>
    <x v="147"/>
    <x v="0"/>
    <x v="0"/>
    <n v="39"/>
    <s v="month"/>
    <x v="0"/>
    <x v="2"/>
    <x v="1"/>
  </r>
  <r>
    <n v="160379194"/>
    <x v="147"/>
    <x v="269"/>
    <x v="0"/>
    <n v="39"/>
    <s v="month"/>
    <x v="11"/>
    <x v="2"/>
    <x v="1"/>
  </r>
  <r>
    <n v="194169961"/>
    <x v="147"/>
    <x v="272"/>
    <x v="0"/>
    <n v="39"/>
    <s v="month"/>
    <x v="13"/>
    <x v="2"/>
    <x v="1"/>
  </r>
  <r>
    <n v="184209232"/>
    <x v="147"/>
    <x v="191"/>
    <x v="0"/>
    <n v="39"/>
    <s v="month"/>
    <x v="87"/>
    <x v="2"/>
    <x v="1"/>
  </r>
  <r>
    <n v="195198228"/>
    <x v="147"/>
    <x v="280"/>
    <x v="0"/>
    <n v="39"/>
    <s v="month"/>
    <x v="40"/>
    <x v="2"/>
    <x v="1"/>
  </r>
  <r>
    <n v="153657568"/>
    <x v="148"/>
    <x v="0"/>
    <x v="0"/>
    <n v="39"/>
    <s v="month"/>
    <x v="0"/>
    <x v="3"/>
    <x v="1"/>
  </r>
  <r>
    <n v="127697219"/>
    <x v="148"/>
    <x v="45"/>
    <x v="0"/>
    <n v="39"/>
    <s v="month"/>
    <x v="101"/>
    <x v="3"/>
    <x v="1"/>
  </r>
  <r>
    <n v="198448283"/>
    <x v="148"/>
    <x v="241"/>
    <x v="0"/>
    <n v="39"/>
    <s v="month"/>
    <x v="119"/>
    <x v="3"/>
    <x v="1"/>
  </r>
  <r>
    <n v="159483118"/>
    <x v="148"/>
    <x v="50"/>
    <x v="0"/>
    <n v="39"/>
    <s v="month"/>
    <x v="28"/>
    <x v="3"/>
    <x v="1"/>
  </r>
  <r>
    <n v="152433647"/>
    <x v="148"/>
    <x v="32"/>
    <x v="0"/>
    <n v="39"/>
    <s v="month"/>
    <x v="102"/>
    <x v="3"/>
    <x v="1"/>
  </r>
  <r>
    <n v="154790198"/>
    <x v="148"/>
    <x v="59"/>
    <x v="0"/>
    <n v="39"/>
    <s v="month"/>
    <x v="118"/>
    <x v="3"/>
    <x v="1"/>
  </r>
  <r>
    <n v="191896242"/>
    <x v="149"/>
    <x v="0"/>
    <x v="0"/>
    <n v="39"/>
    <s v="month"/>
    <x v="0"/>
    <x v="4"/>
    <x v="1"/>
  </r>
  <r>
    <n v="136407072"/>
    <x v="149"/>
    <x v="296"/>
    <x v="0"/>
    <n v="39"/>
    <s v="month"/>
    <x v="183"/>
    <x v="4"/>
    <x v="1"/>
  </r>
  <r>
    <n v="199439964"/>
    <x v="149"/>
    <x v="268"/>
    <x v="0"/>
    <n v="39"/>
    <s v="month"/>
    <x v="145"/>
    <x v="4"/>
    <x v="1"/>
  </r>
  <r>
    <n v="199255574"/>
    <x v="149"/>
    <x v="173"/>
    <x v="0"/>
    <n v="39"/>
    <s v="month"/>
    <x v="164"/>
    <x v="4"/>
    <x v="1"/>
  </r>
  <r>
    <n v="167938302"/>
    <x v="149"/>
    <x v="128"/>
    <x v="0"/>
    <n v="39"/>
    <s v="month"/>
    <x v="177"/>
    <x v="4"/>
    <x v="1"/>
  </r>
  <r>
    <n v="154173057"/>
    <x v="149"/>
    <x v="297"/>
    <x v="0"/>
    <n v="39"/>
    <s v="month"/>
    <x v="225"/>
    <x v="4"/>
    <x v="1"/>
  </r>
  <r>
    <n v="153199550"/>
    <x v="149"/>
    <x v="170"/>
    <x v="0"/>
    <n v="39"/>
    <s v="month"/>
    <x v="175"/>
    <x v="4"/>
    <x v="1"/>
  </r>
  <r>
    <n v="199302158"/>
    <x v="149"/>
    <x v="170"/>
    <x v="0"/>
    <n v="39"/>
    <s v="month"/>
    <x v="175"/>
    <x v="4"/>
    <x v="1"/>
  </r>
  <r>
    <n v="187482966"/>
    <x v="149"/>
    <x v="252"/>
    <x v="0"/>
    <n v="39"/>
    <s v="month"/>
    <x v="226"/>
    <x v="4"/>
    <x v="1"/>
  </r>
  <r>
    <n v="168436547"/>
    <x v="149"/>
    <x v="240"/>
    <x v="0"/>
    <n v="39"/>
    <s v="month"/>
    <x v="227"/>
    <x v="4"/>
    <x v="1"/>
  </r>
  <r>
    <n v="195007481"/>
    <x v="150"/>
    <x v="0"/>
    <x v="0"/>
    <n v="39"/>
    <s v="month"/>
    <x v="0"/>
    <x v="5"/>
    <x v="1"/>
  </r>
  <r>
    <n v="181830574"/>
    <x v="150"/>
    <x v="0"/>
    <x v="0"/>
    <n v="39"/>
    <s v="month"/>
    <x v="0"/>
    <x v="5"/>
    <x v="1"/>
  </r>
  <r>
    <n v="198691553"/>
    <x v="150"/>
    <x v="0"/>
    <x v="0"/>
    <n v="39"/>
    <s v="month"/>
    <x v="0"/>
    <x v="5"/>
    <x v="1"/>
  </r>
  <r>
    <n v="200001674"/>
    <x v="150"/>
    <x v="178"/>
    <x v="0"/>
    <n v="39"/>
    <s v="month"/>
    <x v="165"/>
    <x v="5"/>
    <x v="1"/>
  </r>
  <r>
    <n v="200252155"/>
    <x v="150"/>
    <x v="298"/>
    <x v="0"/>
    <n v="39"/>
    <s v="month"/>
    <x v="145"/>
    <x v="5"/>
    <x v="1"/>
  </r>
  <r>
    <n v="188206991"/>
    <x v="150"/>
    <x v="299"/>
    <x v="0"/>
    <n v="39"/>
    <s v="month"/>
    <x v="83"/>
    <x v="5"/>
    <x v="1"/>
  </r>
  <r>
    <n v="184330352"/>
    <x v="150"/>
    <x v="300"/>
    <x v="0"/>
    <n v="39"/>
    <s v="month"/>
    <x v="75"/>
    <x v="5"/>
    <x v="1"/>
  </r>
  <r>
    <n v="198701510"/>
    <x v="150"/>
    <x v="286"/>
    <x v="0"/>
    <n v="39"/>
    <s v="month"/>
    <x v="61"/>
    <x v="5"/>
    <x v="1"/>
  </r>
  <r>
    <n v="164909402"/>
    <x v="150"/>
    <x v="188"/>
    <x v="0"/>
    <n v="39"/>
    <s v="month"/>
    <x v="62"/>
    <x v="5"/>
    <x v="1"/>
  </r>
  <r>
    <n v="126737063"/>
    <x v="150"/>
    <x v="63"/>
    <x v="0"/>
    <n v="39"/>
    <s v="month"/>
    <x v="111"/>
    <x v="5"/>
    <x v="1"/>
  </r>
  <r>
    <n v="194472898"/>
    <x v="151"/>
    <x v="0"/>
    <x v="0"/>
    <n v="39"/>
    <s v="month"/>
    <x v="0"/>
    <x v="6"/>
    <x v="1"/>
  </r>
  <r>
    <n v="200962065"/>
    <x v="151"/>
    <x v="0"/>
    <x v="0"/>
    <n v="39"/>
    <s v="month"/>
    <x v="0"/>
    <x v="6"/>
    <x v="1"/>
  </r>
  <r>
    <n v="196821289"/>
    <x v="151"/>
    <x v="0"/>
    <x v="0"/>
    <n v="39"/>
    <s v="month"/>
    <x v="0"/>
    <x v="6"/>
    <x v="1"/>
  </r>
  <r>
    <n v="200867442"/>
    <x v="151"/>
    <x v="0"/>
    <x v="0"/>
    <n v="39"/>
    <s v="month"/>
    <x v="0"/>
    <x v="6"/>
    <x v="1"/>
  </r>
  <r>
    <n v="187855576"/>
    <x v="151"/>
    <x v="0"/>
    <x v="0"/>
    <n v="39"/>
    <s v="month"/>
    <x v="0"/>
    <x v="6"/>
    <x v="1"/>
  </r>
  <r>
    <n v="198475060"/>
    <x v="151"/>
    <x v="170"/>
    <x v="1"/>
    <n v="39"/>
    <s v="month"/>
    <x v="1"/>
    <x v="6"/>
    <x v="1"/>
  </r>
  <r>
    <n v="137201021"/>
    <x v="151"/>
    <x v="3"/>
    <x v="0"/>
    <n v="39"/>
    <s v="month"/>
    <x v="141"/>
    <x v="6"/>
    <x v="1"/>
  </r>
  <r>
    <n v="192942271"/>
    <x v="151"/>
    <x v="293"/>
    <x v="0"/>
    <n v="39"/>
    <s v="month"/>
    <x v="219"/>
    <x v="6"/>
    <x v="1"/>
  </r>
  <r>
    <n v="155088727"/>
    <x v="151"/>
    <x v="45"/>
    <x v="0"/>
    <n v="39"/>
    <s v="month"/>
    <x v="91"/>
    <x v="6"/>
    <x v="1"/>
  </r>
  <r>
    <n v="145416349"/>
    <x v="151"/>
    <x v="251"/>
    <x v="0"/>
    <n v="39"/>
    <s v="month"/>
    <x v="75"/>
    <x v="6"/>
    <x v="1"/>
  </r>
  <r>
    <n v="154064672"/>
    <x v="151"/>
    <x v="152"/>
    <x v="0"/>
    <n v="39"/>
    <s v="month"/>
    <x v="6"/>
    <x v="6"/>
    <x v="1"/>
  </r>
  <r>
    <n v="174670793"/>
    <x v="151"/>
    <x v="275"/>
    <x v="0"/>
    <n v="39"/>
    <s v="month"/>
    <x v="18"/>
    <x v="6"/>
    <x v="1"/>
  </r>
  <r>
    <n v="200600365"/>
    <x v="151"/>
    <x v="257"/>
    <x v="0"/>
    <n v="39"/>
    <s v="month"/>
    <x v="114"/>
    <x v="6"/>
    <x v="1"/>
  </r>
  <r>
    <n v="196253752"/>
    <x v="151"/>
    <x v="26"/>
    <x v="0"/>
    <n v="39"/>
    <s v="month"/>
    <x v="23"/>
    <x v="6"/>
    <x v="1"/>
  </r>
  <r>
    <n v="148710722"/>
    <x v="151"/>
    <x v="247"/>
    <x v="0"/>
    <n v="39"/>
    <s v="month"/>
    <x v="208"/>
    <x v="6"/>
    <x v="1"/>
  </r>
  <r>
    <n v="201015936"/>
    <x v="151"/>
    <x v="210"/>
    <x v="0"/>
    <n v="39"/>
    <s v="month"/>
    <x v="214"/>
    <x v="6"/>
    <x v="1"/>
  </r>
  <r>
    <n v="200766423"/>
    <x v="151"/>
    <x v="136"/>
    <x v="0"/>
    <n v="39"/>
    <s v="month"/>
    <x v="225"/>
    <x v="6"/>
    <x v="1"/>
  </r>
  <r>
    <n v="188152753"/>
    <x v="151"/>
    <x v="276"/>
    <x v="0"/>
    <n v="39"/>
    <s v="month"/>
    <x v="14"/>
    <x v="6"/>
    <x v="1"/>
  </r>
  <r>
    <n v="194406214"/>
    <x v="151"/>
    <x v="301"/>
    <x v="0"/>
    <n v="39"/>
    <s v="month"/>
    <x v="226"/>
    <x v="6"/>
    <x v="1"/>
  </r>
  <r>
    <n v="199388324"/>
    <x v="152"/>
    <x v="0"/>
    <x v="0"/>
    <n v="39"/>
    <s v="month"/>
    <x v="0"/>
    <x v="0"/>
    <x v="1"/>
  </r>
  <r>
    <n v="202030516"/>
    <x v="152"/>
    <x v="0"/>
    <x v="0"/>
    <n v="39"/>
    <s v="month"/>
    <x v="0"/>
    <x v="0"/>
    <x v="1"/>
  </r>
  <r>
    <n v="196926212"/>
    <x v="152"/>
    <x v="0"/>
    <x v="0"/>
    <n v="39"/>
    <s v="month"/>
    <x v="0"/>
    <x v="0"/>
    <x v="1"/>
  </r>
  <r>
    <n v="199374328"/>
    <x v="152"/>
    <x v="241"/>
    <x v="0"/>
    <n v="39"/>
    <s v="month"/>
    <x v="151"/>
    <x v="0"/>
    <x v="1"/>
  </r>
  <r>
    <n v="201313318"/>
    <x v="152"/>
    <x v="159"/>
    <x v="0"/>
    <n v="39"/>
    <s v="month"/>
    <x v="165"/>
    <x v="0"/>
    <x v="1"/>
  </r>
  <r>
    <n v="200960179"/>
    <x v="152"/>
    <x v="285"/>
    <x v="0"/>
    <n v="39"/>
    <s v="month"/>
    <x v="113"/>
    <x v="0"/>
    <x v="1"/>
  </r>
  <r>
    <n v="180890046"/>
    <x v="152"/>
    <x v="267"/>
    <x v="0"/>
    <n v="39"/>
    <s v="month"/>
    <x v="228"/>
    <x v="0"/>
    <x v="1"/>
  </r>
  <r>
    <n v="159227956"/>
    <x v="152"/>
    <x v="96"/>
    <x v="0"/>
    <n v="39"/>
    <s v="month"/>
    <x v="126"/>
    <x v="0"/>
    <x v="1"/>
  </r>
  <r>
    <n v="182325407"/>
    <x v="152"/>
    <x v="145"/>
    <x v="0"/>
    <n v="39"/>
    <s v="month"/>
    <x v="8"/>
    <x v="0"/>
    <x v="1"/>
  </r>
  <r>
    <n v="194828965"/>
    <x v="152"/>
    <x v="146"/>
    <x v="0"/>
    <n v="39"/>
    <s v="month"/>
    <x v="26"/>
    <x v="0"/>
    <x v="1"/>
  </r>
  <r>
    <n v="202139613"/>
    <x v="152"/>
    <x v="70"/>
    <x v="0"/>
    <n v="39"/>
    <s v="month"/>
    <x v="50"/>
    <x v="0"/>
    <x v="1"/>
  </r>
  <r>
    <n v="202137510"/>
    <x v="152"/>
    <x v="276"/>
    <x v="0"/>
    <n v="39"/>
    <s v="month"/>
    <x v="108"/>
    <x v="0"/>
    <x v="1"/>
  </r>
  <r>
    <n v="201182176"/>
    <x v="152"/>
    <x v="161"/>
    <x v="0"/>
    <n v="39"/>
    <s v="month"/>
    <x v="44"/>
    <x v="0"/>
    <x v="1"/>
  </r>
  <r>
    <n v="202010803"/>
    <x v="152"/>
    <x v="50"/>
    <x v="0"/>
    <n v="39"/>
    <s v="month"/>
    <x v="62"/>
    <x v="0"/>
    <x v="1"/>
  </r>
  <r>
    <n v="131734107"/>
    <x v="153"/>
    <x v="302"/>
    <x v="0"/>
    <n v="39"/>
    <s v="month"/>
    <x v="135"/>
    <x v="1"/>
    <x v="1"/>
  </r>
  <r>
    <n v="202277130"/>
    <x v="153"/>
    <x v="16"/>
    <x v="0"/>
    <n v="39"/>
    <s v="month"/>
    <x v="110"/>
    <x v="1"/>
    <x v="1"/>
  </r>
  <r>
    <n v="137196428"/>
    <x v="153"/>
    <x v="162"/>
    <x v="0"/>
    <n v="39"/>
    <s v="month"/>
    <x v="36"/>
    <x v="1"/>
    <x v="1"/>
  </r>
  <r>
    <n v="153568282"/>
    <x v="153"/>
    <x v="165"/>
    <x v="0"/>
    <n v="39"/>
    <s v="month"/>
    <x v="214"/>
    <x v="1"/>
    <x v="1"/>
  </r>
  <r>
    <n v="199895190"/>
    <x v="153"/>
    <x v="32"/>
    <x v="0"/>
    <n v="39"/>
    <s v="month"/>
    <x v="87"/>
    <x v="1"/>
    <x v="1"/>
  </r>
  <r>
    <n v="200894076"/>
    <x v="153"/>
    <x v="292"/>
    <x v="0"/>
    <n v="39"/>
    <s v="month"/>
    <x v="13"/>
    <x v="1"/>
    <x v="1"/>
  </r>
  <r>
    <n v="201162862"/>
    <x v="153"/>
    <x v="276"/>
    <x v="0"/>
    <n v="39"/>
    <s v="month"/>
    <x v="167"/>
    <x v="1"/>
    <x v="1"/>
  </r>
  <r>
    <n v="198748705"/>
    <x v="153"/>
    <x v="208"/>
    <x v="0"/>
    <n v="39"/>
    <s v="month"/>
    <x v="187"/>
    <x v="1"/>
    <x v="1"/>
  </r>
  <r>
    <n v="202308735"/>
    <x v="153"/>
    <x v="190"/>
    <x v="0"/>
    <n v="39"/>
    <s v="month"/>
    <x v="111"/>
    <x v="1"/>
    <x v="1"/>
  </r>
  <r>
    <n v="202276540"/>
    <x v="153"/>
    <x v="244"/>
    <x v="0"/>
    <n v="39"/>
    <s v="month"/>
    <x v="204"/>
    <x v="1"/>
    <x v="1"/>
  </r>
  <r>
    <n v="202401357"/>
    <x v="154"/>
    <x v="0"/>
    <x v="0"/>
    <n v="39"/>
    <s v="month"/>
    <x v="0"/>
    <x v="2"/>
    <x v="1"/>
  </r>
  <r>
    <n v="184539258"/>
    <x v="154"/>
    <x v="101"/>
    <x v="0"/>
    <n v="39"/>
    <s v="month"/>
    <x v="168"/>
    <x v="2"/>
    <x v="1"/>
  </r>
  <r>
    <n v="202349754"/>
    <x v="154"/>
    <x v="4"/>
    <x v="0"/>
    <n v="39"/>
    <s v="month"/>
    <x v="49"/>
    <x v="2"/>
    <x v="1"/>
  </r>
  <r>
    <n v="202410436"/>
    <x v="154"/>
    <x v="264"/>
    <x v="0"/>
    <n v="39"/>
    <s v="month"/>
    <x v="86"/>
    <x v="2"/>
    <x v="1"/>
  </r>
  <r>
    <n v="197151544"/>
    <x v="154"/>
    <x v="233"/>
    <x v="0"/>
    <n v="39"/>
    <s v="month"/>
    <x v="19"/>
    <x v="2"/>
    <x v="1"/>
  </r>
  <r>
    <n v="202305934"/>
    <x v="154"/>
    <x v="277"/>
    <x v="0"/>
    <n v="39"/>
    <s v="month"/>
    <x v="102"/>
    <x v="2"/>
    <x v="1"/>
  </r>
  <r>
    <n v="202304812"/>
    <x v="155"/>
    <x v="0"/>
    <x v="0"/>
    <n v="39"/>
    <s v="month"/>
    <x v="0"/>
    <x v="3"/>
    <x v="1"/>
  </r>
  <r>
    <n v="160030890"/>
    <x v="155"/>
    <x v="0"/>
    <x v="0"/>
    <n v="39"/>
    <s v="month"/>
    <x v="0"/>
    <x v="3"/>
    <x v="1"/>
  </r>
  <r>
    <n v="202524608"/>
    <x v="155"/>
    <x v="0"/>
    <x v="0"/>
    <n v="39"/>
    <s v="month"/>
    <x v="0"/>
    <x v="3"/>
    <x v="1"/>
  </r>
  <r>
    <n v="198447368"/>
    <x v="155"/>
    <x v="0"/>
    <x v="0"/>
    <n v="39"/>
    <s v="month"/>
    <x v="0"/>
    <x v="3"/>
    <x v="1"/>
  </r>
  <r>
    <n v="202458624"/>
    <x v="155"/>
    <x v="0"/>
    <x v="0"/>
    <n v="39"/>
    <s v="month"/>
    <x v="0"/>
    <x v="3"/>
    <x v="1"/>
  </r>
  <r>
    <n v="132256211"/>
    <x v="155"/>
    <x v="33"/>
    <x v="0"/>
    <n v="39"/>
    <s v="month"/>
    <x v="167"/>
    <x v="3"/>
    <x v="1"/>
  </r>
  <r>
    <n v="202504135"/>
    <x v="155"/>
    <x v="303"/>
    <x v="0"/>
    <n v="39"/>
    <s v="month"/>
    <x v="145"/>
    <x v="3"/>
    <x v="1"/>
  </r>
  <r>
    <n v="192182455"/>
    <x v="155"/>
    <x v="274"/>
    <x v="0"/>
    <n v="39"/>
    <s v="month"/>
    <x v="97"/>
    <x v="3"/>
    <x v="1"/>
  </r>
  <r>
    <n v="202505276"/>
    <x v="155"/>
    <x v="218"/>
    <x v="0"/>
    <n v="39"/>
    <s v="month"/>
    <x v="14"/>
    <x v="3"/>
    <x v="1"/>
  </r>
  <r>
    <n v="152050632"/>
    <x v="156"/>
    <x v="0"/>
    <x v="0"/>
    <n v="39"/>
    <s v="month"/>
    <x v="0"/>
    <x v="4"/>
    <x v="1"/>
  </r>
  <r>
    <n v="201313284"/>
    <x v="156"/>
    <x v="0"/>
    <x v="0"/>
    <n v="39"/>
    <s v="month"/>
    <x v="0"/>
    <x v="4"/>
    <x v="1"/>
  </r>
  <r>
    <n v="202118292"/>
    <x v="156"/>
    <x v="0"/>
    <x v="0"/>
    <n v="39"/>
    <s v="month"/>
    <x v="0"/>
    <x v="4"/>
    <x v="1"/>
  </r>
  <r>
    <n v="202298964"/>
    <x v="156"/>
    <x v="0"/>
    <x v="0"/>
    <n v="39"/>
    <s v="month"/>
    <x v="0"/>
    <x v="4"/>
    <x v="1"/>
  </r>
  <r>
    <n v="202496216"/>
    <x v="156"/>
    <x v="0"/>
    <x v="0"/>
    <n v="39"/>
    <s v="month"/>
    <x v="0"/>
    <x v="4"/>
    <x v="1"/>
  </r>
  <r>
    <n v="152354478"/>
    <x v="156"/>
    <x v="0"/>
    <x v="0"/>
    <n v="39"/>
    <s v="month"/>
    <x v="0"/>
    <x v="4"/>
    <x v="1"/>
  </r>
  <r>
    <n v="200490112"/>
    <x v="156"/>
    <x v="201"/>
    <x v="1"/>
    <n v="39"/>
    <s v="month"/>
    <x v="1"/>
    <x v="4"/>
    <x v="1"/>
  </r>
  <r>
    <n v="131310280"/>
    <x v="156"/>
    <x v="280"/>
    <x v="0"/>
    <n v="39"/>
    <s v="month"/>
    <x v="125"/>
    <x v="4"/>
    <x v="1"/>
  </r>
  <r>
    <n v="154161250"/>
    <x v="156"/>
    <x v="233"/>
    <x v="0"/>
    <n v="39"/>
    <s v="month"/>
    <x v="102"/>
    <x v="4"/>
    <x v="1"/>
  </r>
  <r>
    <n v="150521180"/>
    <x v="156"/>
    <x v="304"/>
    <x v="0"/>
    <n v="39"/>
    <s v="month"/>
    <x v="68"/>
    <x v="4"/>
    <x v="1"/>
  </r>
  <r>
    <n v="195280988"/>
    <x v="156"/>
    <x v="173"/>
    <x v="0"/>
    <n v="39"/>
    <s v="month"/>
    <x v="217"/>
    <x v="4"/>
    <x v="1"/>
  </r>
  <r>
    <n v="201231494"/>
    <x v="156"/>
    <x v="96"/>
    <x v="0"/>
    <n v="39"/>
    <s v="month"/>
    <x v="77"/>
    <x v="4"/>
    <x v="1"/>
  </r>
  <r>
    <n v="199554496"/>
    <x v="156"/>
    <x v="35"/>
    <x v="0"/>
    <n v="39"/>
    <s v="month"/>
    <x v="208"/>
    <x v="4"/>
    <x v="1"/>
  </r>
  <r>
    <n v="125747106"/>
    <x v="156"/>
    <x v="250"/>
    <x v="0"/>
    <n v="39"/>
    <s v="month"/>
    <x v="20"/>
    <x v="4"/>
    <x v="1"/>
  </r>
  <r>
    <n v="195345030"/>
    <x v="156"/>
    <x v="250"/>
    <x v="0"/>
    <n v="39"/>
    <s v="month"/>
    <x v="20"/>
    <x v="4"/>
    <x v="1"/>
  </r>
  <r>
    <n v="202269874"/>
    <x v="156"/>
    <x v="120"/>
    <x v="0"/>
    <n v="39"/>
    <s v="month"/>
    <x v="155"/>
    <x v="4"/>
    <x v="1"/>
  </r>
  <r>
    <n v="191036527"/>
    <x v="156"/>
    <x v="191"/>
    <x v="0"/>
    <n v="39"/>
    <s v="month"/>
    <x v="72"/>
    <x v="4"/>
    <x v="1"/>
  </r>
  <r>
    <n v="202633556"/>
    <x v="156"/>
    <x v="46"/>
    <x v="0"/>
    <n v="39"/>
    <s v="month"/>
    <x v="178"/>
    <x v="4"/>
    <x v="1"/>
  </r>
  <r>
    <n v="202750328"/>
    <x v="156"/>
    <x v="305"/>
    <x v="0"/>
    <n v="39"/>
    <s v="month"/>
    <x v="229"/>
    <x v="4"/>
    <x v="1"/>
  </r>
  <r>
    <n v="192781688"/>
    <x v="157"/>
    <x v="0"/>
    <x v="0"/>
    <n v="39"/>
    <s v="month"/>
    <x v="0"/>
    <x v="5"/>
    <x v="1"/>
  </r>
  <r>
    <n v="196859472"/>
    <x v="157"/>
    <x v="0"/>
    <x v="0"/>
    <n v="39"/>
    <s v="month"/>
    <x v="0"/>
    <x v="5"/>
    <x v="1"/>
  </r>
  <r>
    <n v="200333728"/>
    <x v="157"/>
    <x v="0"/>
    <x v="0"/>
    <n v="39"/>
    <s v="month"/>
    <x v="0"/>
    <x v="5"/>
    <x v="1"/>
  </r>
  <r>
    <n v="129896329"/>
    <x v="157"/>
    <x v="0"/>
    <x v="0"/>
    <n v="39"/>
    <s v="month"/>
    <x v="0"/>
    <x v="5"/>
    <x v="1"/>
  </r>
  <r>
    <n v="168202891"/>
    <x v="157"/>
    <x v="201"/>
    <x v="1"/>
    <n v="39"/>
    <s v="month"/>
    <x v="11"/>
    <x v="5"/>
    <x v="1"/>
  </r>
  <r>
    <n v="202924219"/>
    <x v="157"/>
    <x v="177"/>
    <x v="0"/>
    <n v="39"/>
    <s v="month"/>
    <x v="24"/>
    <x v="5"/>
    <x v="1"/>
  </r>
  <r>
    <n v="202863670"/>
    <x v="157"/>
    <x v="122"/>
    <x v="0"/>
    <n v="39"/>
    <s v="month"/>
    <x v="177"/>
    <x v="5"/>
    <x v="1"/>
  </r>
  <r>
    <n v="202398629"/>
    <x v="157"/>
    <x v="70"/>
    <x v="0"/>
    <n v="39"/>
    <s v="month"/>
    <x v="62"/>
    <x v="5"/>
    <x v="1"/>
  </r>
  <r>
    <n v="188448878"/>
    <x v="157"/>
    <x v="201"/>
    <x v="0"/>
    <n v="39"/>
    <s v="month"/>
    <x v="11"/>
    <x v="5"/>
    <x v="1"/>
  </r>
  <r>
    <n v="203254948"/>
    <x v="158"/>
    <x v="0"/>
    <x v="0"/>
    <n v="39"/>
    <s v="month"/>
    <x v="0"/>
    <x v="6"/>
    <x v="1"/>
  </r>
  <r>
    <n v="203120229"/>
    <x v="158"/>
    <x v="306"/>
    <x v="0"/>
    <n v="39"/>
    <s v="month"/>
    <x v="69"/>
    <x v="6"/>
    <x v="1"/>
  </r>
  <r>
    <n v="203225874"/>
    <x v="158"/>
    <x v="243"/>
    <x v="0"/>
    <n v="39"/>
    <s v="month"/>
    <x v="93"/>
    <x v="6"/>
    <x v="1"/>
  </r>
  <r>
    <n v="203107308"/>
    <x v="158"/>
    <x v="58"/>
    <x v="0"/>
    <n v="39"/>
    <s v="month"/>
    <x v="66"/>
    <x v="6"/>
    <x v="1"/>
  </r>
  <r>
    <n v="156558244"/>
    <x v="158"/>
    <x v="296"/>
    <x v="0"/>
    <n v="39"/>
    <s v="month"/>
    <x v="45"/>
    <x v="6"/>
    <x v="1"/>
  </r>
  <r>
    <n v="194306726"/>
    <x v="158"/>
    <x v="50"/>
    <x v="0"/>
    <n v="39"/>
    <s v="month"/>
    <x v="86"/>
    <x v="6"/>
    <x v="1"/>
  </r>
  <r>
    <n v="202410948"/>
    <x v="158"/>
    <x v="142"/>
    <x v="0"/>
    <n v="39"/>
    <s v="month"/>
    <x v="167"/>
    <x v="6"/>
    <x v="1"/>
  </r>
  <r>
    <n v="203166018"/>
    <x v="158"/>
    <x v="278"/>
    <x v="0"/>
    <n v="39"/>
    <s v="month"/>
    <x v="44"/>
    <x v="6"/>
    <x v="1"/>
  </r>
  <r>
    <n v="203116697"/>
    <x v="158"/>
    <x v="78"/>
    <x v="0"/>
    <n v="39"/>
    <s v="month"/>
    <x v="102"/>
    <x v="6"/>
    <x v="1"/>
  </r>
  <r>
    <n v="202982608"/>
    <x v="158"/>
    <x v="161"/>
    <x v="0"/>
    <n v="39"/>
    <s v="month"/>
    <x v="2"/>
    <x v="6"/>
    <x v="1"/>
  </r>
  <r>
    <n v="198167700"/>
    <x v="158"/>
    <x v="254"/>
    <x v="0"/>
    <n v="39"/>
    <s v="month"/>
    <x v="175"/>
    <x v="6"/>
    <x v="1"/>
  </r>
  <r>
    <n v="190567582"/>
    <x v="158"/>
    <x v="46"/>
    <x v="0"/>
    <n v="39"/>
    <s v="month"/>
    <x v="10"/>
    <x v="6"/>
    <x v="1"/>
  </r>
  <r>
    <n v="202699972"/>
    <x v="158"/>
    <x v="307"/>
    <x v="0"/>
    <n v="39"/>
    <s v="month"/>
    <x v="115"/>
    <x v="6"/>
    <x v="1"/>
  </r>
  <r>
    <n v="203242766"/>
    <x v="159"/>
    <x v="0"/>
    <x v="0"/>
    <n v="39"/>
    <s v="month"/>
    <x v="0"/>
    <x v="0"/>
    <x v="1"/>
  </r>
  <r>
    <n v="203398103"/>
    <x v="159"/>
    <x v="0"/>
    <x v="0"/>
    <n v="39"/>
    <s v="month"/>
    <x v="0"/>
    <x v="0"/>
    <x v="1"/>
  </r>
  <r>
    <n v="203243685"/>
    <x v="159"/>
    <x v="0"/>
    <x v="0"/>
    <n v="39"/>
    <s v="month"/>
    <x v="0"/>
    <x v="0"/>
    <x v="1"/>
  </r>
  <r>
    <n v="203370322"/>
    <x v="159"/>
    <x v="0"/>
    <x v="0"/>
    <n v="39"/>
    <s v="month"/>
    <x v="0"/>
    <x v="0"/>
    <x v="1"/>
  </r>
  <r>
    <n v="138689458"/>
    <x v="159"/>
    <x v="0"/>
    <x v="0"/>
    <n v="39"/>
    <s v="month"/>
    <x v="0"/>
    <x v="0"/>
    <x v="1"/>
  </r>
  <r>
    <n v="203315186"/>
    <x v="159"/>
    <x v="0"/>
    <x v="0"/>
    <n v="39"/>
    <s v="month"/>
    <x v="0"/>
    <x v="0"/>
    <x v="1"/>
  </r>
  <r>
    <n v="203292575"/>
    <x v="159"/>
    <x v="0"/>
    <x v="0"/>
    <n v="39"/>
    <s v="month"/>
    <x v="0"/>
    <x v="0"/>
    <x v="1"/>
  </r>
  <r>
    <n v="144830936"/>
    <x v="159"/>
    <x v="91"/>
    <x v="0"/>
    <n v="39"/>
    <s v="month"/>
    <x v="1"/>
    <x v="0"/>
    <x v="1"/>
  </r>
  <r>
    <n v="168980588"/>
    <x v="159"/>
    <x v="219"/>
    <x v="1"/>
    <n v="39"/>
    <s v="month"/>
    <x v="11"/>
    <x v="0"/>
    <x v="1"/>
  </r>
  <r>
    <n v="136832520"/>
    <x v="159"/>
    <x v="276"/>
    <x v="0"/>
    <n v="39"/>
    <s v="month"/>
    <x v="72"/>
    <x v="0"/>
    <x v="1"/>
  </r>
  <r>
    <n v="202103959"/>
    <x v="159"/>
    <x v="267"/>
    <x v="0"/>
    <n v="39"/>
    <s v="month"/>
    <x v="133"/>
    <x v="0"/>
    <x v="1"/>
  </r>
  <r>
    <n v="148764147"/>
    <x v="159"/>
    <x v="239"/>
    <x v="0"/>
    <n v="39"/>
    <s v="month"/>
    <x v="27"/>
    <x v="0"/>
    <x v="1"/>
  </r>
  <r>
    <n v="182748610"/>
    <x v="159"/>
    <x v="246"/>
    <x v="0"/>
    <n v="39"/>
    <s v="month"/>
    <x v="94"/>
    <x v="0"/>
    <x v="1"/>
  </r>
  <r>
    <n v="197883626"/>
    <x v="159"/>
    <x v="220"/>
    <x v="0"/>
    <n v="39"/>
    <s v="month"/>
    <x v="167"/>
    <x v="0"/>
    <x v="1"/>
  </r>
  <r>
    <n v="195893842"/>
    <x v="159"/>
    <x v="271"/>
    <x v="0"/>
    <n v="39"/>
    <s v="month"/>
    <x v="184"/>
    <x v="0"/>
    <x v="1"/>
  </r>
  <r>
    <n v="169081778"/>
    <x v="159"/>
    <x v="55"/>
    <x v="0"/>
    <n v="39"/>
    <s v="month"/>
    <x v="30"/>
    <x v="0"/>
    <x v="1"/>
  </r>
  <r>
    <n v="150422738"/>
    <x v="160"/>
    <x v="254"/>
    <x v="0"/>
    <n v="39"/>
    <s v="month"/>
    <x v="1"/>
    <x v="1"/>
    <x v="1"/>
  </r>
  <r>
    <n v="190839721"/>
    <x v="160"/>
    <x v="137"/>
    <x v="0"/>
    <n v="39"/>
    <s v="month"/>
    <x v="167"/>
    <x v="1"/>
    <x v="1"/>
  </r>
  <r>
    <n v="152193617"/>
    <x v="161"/>
    <x v="0"/>
    <x v="0"/>
    <n v="39"/>
    <s v="month"/>
    <x v="0"/>
    <x v="2"/>
    <x v="1"/>
  </r>
  <r>
    <n v="133869989"/>
    <x v="161"/>
    <x v="153"/>
    <x v="0"/>
    <n v="39"/>
    <s v="month"/>
    <x v="1"/>
    <x v="2"/>
    <x v="1"/>
  </r>
  <r>
    <n v="186843516"/>
    <x v="161"/>
    <x v="185"/>
    <x v="0"/>
    <n v="39"/>
    <s v="month"/>
    <x v="210"/>
    <x v="2"/>
    <x v="1"/>
  </r>
  <r>
    <n v="138913080"/>
    <x v="161"/>
    <x v="248"/>
    <x v="0"/>
    <n v="39"/>
    <s v="month"/>
    <x v="144"/>
    <x v="2"/>
    <x v="1"/>
  </r>
  <r>
    <n v="134879280"/>
    <x v="161"/>
    <x v="191"/>
    <x v="0"/>
    <n v="39"/>
    <s v="month"/>
    <x v="15"/>
    <x v="2"/>
    <x v="1"/>
  </r>
  <r>
    <n v="160878134"/>
    <x v="162"/>
    <x v="0"/>
    <x v="0"/>
    <n v="39"/>
    <s v="month"/>
    <x v="0"/>
    <x v="4"/>
    <x v="1"/>
  </r>
  <r>
    <n v="144423338"/>
    <x v="162"/>
    <x v="190"/>
    <x v="0"/>
    <n v="39"/>
    <s v="month"/>
    <x v="29"/>
    <x v="4"/>
    <x v="1"/>
  </r>
  <r>
    <n v="136218542"/>
    <x v="162"/>
    <x v="174"/>
    <x v="0"/>
    <n v="39"/>
    <s v="month"/>
    <x v="75"/>
    <x v="4"/>
    <x v="1"/>
  </r>
  <r>
    <n v="204121686"/>
    <x v="162"/>
    <x v="303"/>
    <x v="0"/>
    <n v="39"/>
    <s v="month"/>
    <x v="68"/>
    <x v="4"/>
    <x v="1"/>
  </r>
  <r>
    <n v="204114138"/>
    <x v="162"/>
    <x v="15"/>
    <x v="0"/>
    <n v="39"/>
    <s v="month"/>
    <x v="5"/>
    <x v="4"/>
    <x v="1"/>
  </r>
  <r>
    <n v="152197442"/>
    <x v="162"/>
    <x v="32"/>
    <x v="0"/>
    <n v="39"/>
    <s v="month"/>
    <x v="44"/>
    <x v="4"/>
    <x v="1"/>
  </r>
  <r>
    <n v="151695881"/>
    <x v="162"/>
    <x v="95"/>
    <x v="0"/>
    <n v="39"/>
    <s v="month"/>
    <x v="190"/>
    <x v="4"/>
    <x v="1"/>
  </r>
  <r>
    <n v="204378294"/>
    <x v="163"/>
    <x v="0"/>
    <x v="0"/>
    <n v="39"/>
    <s v="month"/>
    <x v="0"/>
    <x v="5"/>
    <x v="1"/>
  </r>
  <r>
    <n v="204376665"/>
    <x v="163"/>
    <x v="0"/>
    <x v="0"/>
    <n v="39"/>
    <s v="month"/>
    <x v="0"/>
    <x v="5"/>
    <x v="1"/>
  </r>
  <r>
    <n v="204270637"/>
    <x v="163"/>
    <x v="0"/>
    <x v="0"/>
    <n v="39"/>
    <s v="month"/>
    <x v="0"/>
    <x v="5"/>
    <x v="1"/>
  </r>
  <r>
    <n v="204380751"/>
    <x v="163"/>
    <x v="210"/>
    <x v="0"/>
    <n v="39"/>
    <s v="month"/>
    <x v="11"/>
    <x v="5"/>
    <x v="1"/>
  </r>
  <r>
    <n v="204402989"/>
    <x v="163"/>
    <x v="308"/>
    <x v="0"/>
    <n v="39"/>
    <s v="month"/>
    <x v="228"/>
    <x v="5"/>
    <x v="1"/>
  </r>
  <r>
    <n v="203403136"/>
    <x v="163"/>
    <x v="303"/>
    <x v="0"/>
    <n v="39"/>
    <s v="month"/>
    <x v="113"/>
    <x v="5"/>
    <x v="1"/>
  </r>
  <r>
    <n v="198453918"/>
    <x v="163"/>
    <x v="237"/>
    <x v="0"/>
    <n v="39"/>
    <s v="month"/>
    <x v="97"/>
    <x v="5"/>
    <x v="1"/>
  </r>
  <r>
    <n v="133514912"/>
    <x v="163"/>
    <x v="191"/>
    <x v="0"/>
    <n v="39"/>
    <s v="month"/>
    <x v="86"/>
    <x v="5"/>
    <x v="1"/>
  </r>
  <r>
    <n v="203414698"/>
    <x v="163"/>
    <x v="208"/>
    <x v="0"/>
    <n v="39"/>
    <s v="month"/>
    <x v="57"/>
    <x v="5"/>
    <x v="1"/>
  </r>
  <r>
    <n v="190400854"/>
    <x v="163"/>
    <x v="240"/>
    <x v="0"/>
    <n v="39"/>
    <s v="month"/>
    <x v="32"/>
    <x v="5"/>
    <x v="1"/>
  </r>
  <r>
    <n v="204114797"/>
    <x v="163"/>
    <x v="180"/>
    <x v="0"/>
    <n v="39"/>
    <s v="month"/>
    <x v="121"/>
    <x v="5"/>
    <x v="1"/>
  </r>
  <r>
    <n v="202377942"/>
    <x v="164"/>
    <x v="0"/>
    <x v="0"/>
    <n v="39"/>
    <s v="month"/>
    <x v="0"/>
    <x v="6"/>
    <x v="1"/>
  </r>
  <r>
    <n v="204555612"/>
    <x v="164"/>
    <x v="59"/>
    <x v="1"/>
    <n v="39"/>
    <s v="month"/>
    <x v="11"/>
    <x v="6"/>
    <x v="1"/>
  </r>
  <r>
    <n v="204556376"/>
    <x v="164"/>
    <x v="59"/>
    <x v="1"/>
    <n v="39"/>
    <s v="month"/>
    <x v="11"/>
    <x v="6"/>
    <x v="1"/>
  </r>
  <r>
    <n v="204515997"/>
    <x v="164"/>
    <x v="69"/>
    <x v="0"/>
    <n v="39"/>
    <s v="month"/>
    <x v="68"/>
    <x v="6"/>
    <x v="1"/>
  </r>
  <r>
    <n v="153342734"/>
    <x v="164"/>
    <x v="223"/>
    <x v="0"/>
    <n v="39"/>
    <s v="month"/>
    <x v="167"/>
    <x v="6"/>
    <x v="1"/>
  </r>
  <r>
    <n v="204650391"/>
    <x v="165"/>
    <x v="0"/>
    <x v="0"/>
    <n v="39"/>
    <s v="month"/>
    <x v="0"/>
    <x v="0"/>
    <x v="1"/>
  </r>
  <r>
    <n v="150906486"/>
    <x v="165"/>
    <x v="137"/>
    <x v="0"/>
    <n v="39"/>
    <s v="month"/>
    <x v="72"/>
    <x v="0"/>
    <x v="1"/>
  </r>
  <r>
    <n v="153961940"/>
    <x v="165"/>
    <x v="165"/>
    <x v="0"/>
    <n v="39"/>
    <s v="month"/>
    <x v="11"/>
    <x v="0"/>
    <x v="1"/>
  </r>
  <r>
    <n v="154175766"/>
    <x v="165"/>
    <x v="142"/>
    <x v="0"/>
    <n v="39"/>
    <s v="month"/>
    <x v="62"/>
    <x v="0"/>
    <x v="1"/>
  </r>
  <r>
    <n v="204631298"/>
    <x v="165"/>
    <x v="299"/>
    <x v="0"/>
    <n v="39"/>
    <s v="month"/>
    <x v="8"/>
    <x v="0"/>
    <x v="1"/>
  </r>
  <r>
    <n v="195534585"/>
    <x v="165"/>
    <x v="122"/>
    <x v="0"/>
    <n v="39"/>
    <s v="month"/>
    <x v="110"/>
    <x v="0"/>
    <x v="1"/>
  </r>
  <r>
    <n v="176421166"/>
    <x v="165"/>
    <x v="122"/>
    <x v="0"/>
    <n v="39"/>
    <s v="month"/>
    <x v="110"/>
    <x v="0"/>
    <x v="1"/>
  </r>
  <r>
    <n v="204679416"/>
    <x v="165"/>
    <x v="137"/>
    <x v="0"/>
    <n v="39"/>
    <s v="month"/>
    <x v="72"/>
    <x v="0"/>
    <x v="1"/>
  </r>
  <r>
    <n v="204448721"/>
    <x v="165"/>
    <x v="198"/>
    <x v="0"/>
    <n v="39"/>
    <s v="month"/>
    <x v="208"/>
    <x v="0"/>
    <x v="1"/>
  </r>
  <r>
    <n v="151908347"/>
    <x v="165"/>
    <x v="180"/>
    <x v="0"/>
    <n v="39"/>
    <s v="month"/>
    <x v="131"/>
    <x v="0"/>
    <x v="1"/>
  </r>
  <r>
    <n v="150652956"/>
    <x v="166"/>
    <x v="198"/>
    <x v="0"/>
    <n v="39"/>
    <s v="month"/>
    <x v="1"/>
    <x v="1"/>
    <x v="1"/>
  </r>
  <r>
    <n v="183321644"/>
    <x v="166"/>
    <x v="280"/>
    <x v="1"/>
    <n v="39"/>
    <s v="month"/>
    <x v="11"/>
    <x v="1"/>
    <x v="1"/>
  </r>
  <r>
    <n v="204740476"/>
    <x v="166"/>
    <x v="218"/>
    <x v="1"/>
    <n v="39"/>
    <s v="month"/>
    <x v="9"/>
    <x v="1"/>
    <x v="1"/>
  </r>
  <r>
    <n v="204439086"/>
    <x v="166"/>
    <x v="291"/>
    <x v="0"/>
    <n v="39"/>
    <s v="month"/>
    <x v="68"/>
    <x v="1"/>
    <x v="1"/>
  </r>
  <r>
    <n v="204685109"/>
    <x v="166"/>
    <x v="309"/>
    <x v="0"/>
    <n v="39"/>
    <s v="month"/>
    <x v="137"/>
    <x v="1"/>
    <x v="1"/>
  </r>
  <r>
    <n v="175211528"/>
    <x v="166"/>
    <x v="184"/>
    <x v="0"/>
    <n v="39"/>
    <s v="month"/>
    <x v="230"/>
    <x v="1"/>
    <x v="1"/>
  </r>
  <r>
    <n v="204646698"/>
    <x v="166"/>
    <x v="280"/>
    <x v="0"/>
    <n v="39"/>
    <s v="month"/>
    <x v="11"/>
    <x v="1"/>
    <x v="1"/>
  </r>
  <r>
    <n v="204728203"/>
    <x v="166"/>
    <x v="310"/>
    <x v="0"/>
    <n v="39"/>
    <s v="month"/>
    <x v="231"/>
    <x v="1"/>
    <x v="1"/>
  </r>
  <r>
    <n v="166674547"/>
    <x v="166"/>
    <x v="311"/>
    <x v="0"/>
    <n v="39"/>
    <s v="month"/>
    <x v="136"/>
    <x v="1"/>
    <x v="1"/>
  </r>
  <r>
    <n v="202459470"/>
    <x v="167"/>
    <x v="0"/>
    <x v="0"/>
    <n v="39"/>
    <s v="month"/>
    <x v="0"/>
    <x v="2"/>
    <x v="1"/>
  </r>
  <r>
    <n v="155508761"/>
    <x v="167"/>
    <x v="0"/>
    <x v="0"/>
    <n v="39"/>
    <s v="month"/>
    <x v="0"/>
    <x v="2"/>
    <x v="1"/>
  </r>
  <r>
    <n v="168484421"/>
    <x v="167"/>
    <x v="198"/>
    <x v="1"/>
    <n v="39"/>
    <s v="month"/>
    <x v="11"/>
    <x v="2"/>
    <x v="1"/>
  </r>
  <r>
    <n v="130864124"/>
    <x v="167"/>
    <x v="26"/>
    <x v="0"/>
    <n v="39"/>
    <s v="month"/>
    <x v="1"/>
    <x v="2"/>
    <x v="1"/>
  </r>
  <r>
    <n v="204752959"/>
    <x v="167"/>
    <x v="312"/>
    <x v="0"/>
    <n v="39"/>
    <s v="month"/>
    <x v="145"/>
    <x v="2"/>
    <x v="1"/>
  </r>
  <r>
    <n v="204761235"/>
    <x v="167"/>
    <x v="258"/>
    <x v="0"/>
    <n v="39"/>
    <s v="month"/>
    <x v="138"/>
    <x v="2"/>
    <x v="1"/>
  </r>
  <r>
    <n v="159142615"/>
    <x v="167"/>
    <x v="178"/>
    <x v="0"/>
    <n v="39"/>
    <s v="month"/>
    <x v="106"/>
    <x v="2"/>
    <x v="1"/>
  </r>
  <r>
    <n v="204753316"/>
    <x v="167"/>
    <x v="120"/>
    <x v="0"/>
    <n v="39"/>
    <s v="month"/>
    <x v="167"/>
    <x v="2"/>
    <x v="1"/>
  </r>
  <r>
    <n v="195188483"/>
    <x v="168"/>
    <x v="0"/>
    <x v="0"/>
    <n v="39"/>
    <s v="month"/>
    <x v="0"/>
    <x v="3"/>
    <x v="1"/>
  </r>
  <r>
    <n v="204773056"/>
    <x v="168"/>
    <x v="0"/>
    <x v="0"/>
    <n v="39"/>
    <s v="month"/>
    <x v="0"/>
    <x v="3"/>
    <x v="1"/>
  </r>
  <r>
    <n v="204814698"/>
    <x v="168"/>
    <x v="313"/>
    <x v="0"/>
    <n v="39"/>
    <s v="month"/>
    <x v="202"/>
    <x v="3"/>
    <x v="1"/>
  </r>
  <r>
    <n v="204732463"/>
    <x v="168"/>
    <x v="303"/>
    <x v="0"/>
    <n v="39"/>
    <s v="month"/>
    <x v="91"/>
    <x v="3"/>
    <x v="1"/>
  </r>
  <r>
    <n v="204772360"/>
    <x v="168"/>
    <x v="256"/>
    <x v="0"/>
    <n v="39"/>
    <s v="month"/>
    <x v="27"/>
    <x v="3"/>
    <x v="1"/>
  </r>
  <r>
    <n v="204812582"/>
    <x v="168"/>
    <x v="114"/>
    <x v="0"/>
    <n v="39"/>
    <s v="month"/>
    <x v="155"/>
    <x v="3"/>
    <x v="1"/>
  </r>
  <r>
    <n v="204662556"/>
    <x v="168"/>
    <x v="146"/>
    <x v="0"/>
    <n v="39"/>
    <s v="month"/>
    <x v="190"/>
    <x v="3"/>
    <x v="1"/>
  </r>
  <r>
    <n v="163781430"/>
    <x v="168"/>
    <x v="287"/>
    <x v="0"/>
    <n v="39"/>
    <s v="month"/>
    <x v="177"/>
    <x v="3"/>
    <x v="1"/>
  </r>
  <r>
    <n v="143963064"/>
    <x v="168"/>
    <x v="314"/>
    <x v="0"/>
    <n v="39"/>
    <s v="month"/>
    <x v="128"/>
    <x v="3"/>
    <x v="1"/>
  </r>
  <r>
    <n v="204797166"/>
    <x v="168"/>
    <x v="70"/>
    <x v="0"/>
    <n v="39"/>
    <s v="month"/>
    <x v="134"/>
    <x v="3"/>
    <x v="1"/>
  </r>
  <r>
    <n v="204774421"/>
    <x v="168"/>
    <x v="218"/>
    <x v="0"/>
    <n v="39"/>
    <s v="month"/>
    <x v="182"/>
    <x v="3"/>
    <x v="1"/>
  </r>
  <r>
    <n v="204801675"/>
    <x v="168"/>
    <x v="223"/>
    <x v="0"/>
    <n v="39"/>
    <s v="month"/>
    <x v="28"/>
    <x v="3"/>
    <x v="1"/>
  </r>
  <r>
    <n v="204518099"/>
    <x v="168"/>
    <x v="202"/>
    <x v="0"/>
    <n v="39"/>
    <s v="month"/>
    <x v="225"/>
    <x v="3"/>
    <x v="1"/>
  </r>
  <r>
    <n v="204814320"/>
    <x v="169"/>
    <x v="0"/>
    <x v="0"/>
    <n v="39"/>
    <s v="month"/>
    <x v="0"/>
    <x v="4"/>
    <x v="1"/>
  </r>
  <r>
    <n v="126851221"/>
    <x v="169"/>
    <x v="0"/>
    <x v="0"/>
    <n v="39"/>
    <s v="month"/>
    <x v="0"/>
    <x v="4"/>
    <x v="1"/>
  </r>
  <r>
    <n v="204845935"/>
    <x v="169"/>
    <x v="0"/>
    <x v="0"/>
    <n v="39"/>
    <s v="month"/>
    <x v="0"/>
    <x v="4"/>
    <x v="1"/>
  </r>
  <r>
    <n v="122215146"/>
    <x v="169"/>
    <x v="56"/>
    <x v="0"/>
    <n v="39"/>
    <s v="month"/>
    <x v="1"/>
    <x v="4"/>
    <x v="1"/>
  </r>
  <r>
    <n v="147300748"/>
    <x v="169"/>
    <x v="315"/>
    <x v="0"/>
    <n v="39"/>
    <s v="month"/>
    <x v="164"/>
    <x v="4"/>
    <x v="1"/>
  </r>
  <r>
    <n v="162596645"/>
    <x v="169"/>
    <x v="99"/>
    <x v="0"/>
    <n v="39"/>
    <s v="month"/>
    <x v="154"/>
    <x v="4"/>
    <x v="1"/>
  </r>
  <r>
    <n v="177666771"/>
    <x v="169"/>
    <x v="303"/>
    <x v="0"/>
    <n v="39"/>
    <s v="month"/>
    <x v="158"/>
    <x v="4"/>
    <x v="1"/>
  </r>
  <r>
    <n v="204884248"/>
    <x v="169"/>
    <x v="101"/>
    <x v="0"/>
    <n v="39"/>
    <s v="month"/>
    <x v="114"/>
    <x v="4"/>
    <x v="1"/>
  </r>
  <r>
    <n v="204826054"/>
    <x v="169"/>
    <x v="285"/>
    <x v="0"/>
    <n v="39"/>
    <s v="month"/>
    <x v="181"/>
    <x v="4"/>
    <x v="1"/>
  </r>
  <r>
    <n v="145096572"/>
    <x v="169"/>
    <x v="218"/>
    <x v="0"/>
    <n v="39"/>
    <s v="month"/>
    <x v="2"/>
    <x v="4"/>
    <x v="1"/>
  </r>
  <r>
    <n v="158472404"/>
    <x v="169"/>
    <x v="276"/>
    <x v="0"/>
    <n v="39"/>
    <s v="month"/>
    <x v="23"/>
    <x v="4"/>
    <x v="1"/>
  </r>
  <r>
    <n v="204907118"/>
    <x v="169"/>
    <x v="17"/>
    <x v="0"/>
    <n v="39"/>
    <s v="month"/>
    <x v="78"/>
    <x v="4"/>
    <x v="1"/>
  </r>
  <r>
    <n v="204602410"/>
    <x v="169"/>
    <x v="253"/>
    <x v="0"/>
    <n v="39"/>
    <s v="month"/>
    <x v="44"/>
    <x v="4"/>
    <x v="1"/>
  </r>
  <r>
    <n v="204853460"/>
    <x v="169"/>
    <x v="265"/>
    <x v="0"/>
    <n v="39"/>
    <s v="month"/>
    <x v="128"/>
    <x v="4"/>
    <x v="1"/>
  </r>
  <r>
    <n v="194310997"/>
    <x v="169"/>
    <x v="316"/>
    <x v="0"/>
    <n v="39"/>
    <s v="month"/>
    <x v="232"/>
    <x v="4"/>
    <x v="1"/>
  </r>
  <r>
    <n v="204902258"/>
    <x v="170"/>
    <x v="0"/>
    <x v="0"/>
    <n v="39"/>
    <s v="month"/>
    <x v="0"/>
    <x v="5"/>
    <x v="1"/>
  </r>
  <r>
    <n v="162865034"/>
    <x v="170"/>
    <x v="125"/>
    <x v="0"/>
    <n v="39"/>
    <s v="month"/>
    <x v="167"/>
    <x v="5"/>
    <x v="1"/>
  </r>
  <r>
    <n v="204467695"/>
    <x v="170"/>
    <x v="96"/>
    <x v="0"/>
    <n v="39"/>
    <s v="month"/>
    <x v="148"/>
    <x v="5"/>
    <x v="1"/>
  </r>
  <r>
    <n v="204774193"/>
    <x v="170"/>
    <x v="159"/>
    <x v="0"/>
    <n v="39"/>
    <s v="month"/>
    <x v="12"/>
    <x v="5"/>
    <x v="1"/>
  </r>
  <r>
    <n v="189046085"/>
    <x v="170"/>
    <x v="317"/>
    <x v="0"/>
    <n v="39"/>
    <s v="month"/>
    <x v="5"/>
    <x v="5"/>
    <x v="1"/>
  </r>
  <r>
    <n v="188082436"/>
    <x v="170"/>
    <x v="156"/>
    <x v="0"/>
    <n v="39"/>
    <s v="month"/>
    <x v="190"/>
    <x v="5"/>
    <x v="1"/>
  </r>
  <r>
    <n v="204947361"/>
    <x v="170"/>
    <x v="22"/>
    <x v="0"/>
    <n v="39"/>
    <s v="month"/>
    <x v="102"/>
    <x v="5"/>
    <x v="1"/>
  </r>
  <r>
    <n v="158852962"/>
    <x v="170"/>
    <x v="122"/>
    <x v="0"/>
    <n v="39"/>
    <s v="month"/>
    <x v="55"/>
    <x v="5"/>
    <x v="1"/>
  </r>
  <r>
    <n v="204742960"/>
    <x v="170"/>
    <x v="70"/>
    <x v="0"/>
    <n v="39"/>
    <s v="month"/>
    <x v="214"/>
    <x v="5"/>
    <x v="1"/>
  </r>
  <r>
    <n v="204726042"/>
    <x v="170"/>
    <x v="137"/>
    <x v="0"/>
    <n v="39"/>
    <s v="month"/>
    <x v="15"/>
    <x v="5"/>
    <x v="1"/>
  </r>
  <r>
    <n v="204997225"/>
    <x v="171"/>
    <x v="0"/>
    <x v="0"/>
    <n v="39"/>
    <s v="month"/>
    <x v="0"/>
    <x v="6"/>
    <x v="1"/>
  </r>
  <r>
    <n v="126103612"/>
    <x v="171"/>
    <x v="0"/>
    <x v="0"/>
    <n v="39"/>
    <s v="month"/>
    <x v="0"/>
    <x v="6"/>
    <x v="1"/>
  </r>
  <r>
    <n v="204934860"/>
    <x v="171"/>
    <x v="184"/>
    <x v="1"/>
    <n v="39"/>
    <s v="month"/>
    <x v="1"/>
    <x v="6"/>
    <x v="1"/>
  </r>
  <r>
    <n v="197086298"/>
    <x v="171"/>
    <x v="101"/>
    <x v="0"/>
    <n v="39"/>
    <s v="month"/>
    <x v="88"/>
    <x v="6"/>
    <x v="1"/>
  </r>
  <r>
    <n v="204732760"/>
    <x v="171"/>
    <x v="141"/>
    <x v="0"/>
    <n v="39"/>
    <s v="month"/>
    <x v="27"/>
    <x v="6"/>
    <x v="1"/>
  </r>
  <r>
    <n v="204985175"/>
    <x v="171"/>
    <x v="257"/>
    <x v="0"/>
    <n v="39"/>
    <s v="month"/>
    <x v="43"/>
    <x v="6"/>
    <x v="1"/>
  </r>
  <r>
    <n v="189387698"/>
    <x v="171"/>
    <x v="114"/>
    <x v="0"/>
    <n v="39"/>
    <s v="month"/>
    <x v="34"/>
    <x v="6"/>
    <x v="1"/>
  </r>
  <r>
    <n v="144160302"/>
    <x v="171"/>
    <x v="128"/>
    <x v="0"/>
    <n v="39"/>
    <s v="month"/>
    <x v="102"/>
    <x v="6"/>
    <x v="1"/>
  </r>
  <r>
    <n v="195774465"/>
    <x v="171"/>
    <x v="263"/>
    <x v="0"/>
    <n v="39"/>
    <s v="month"/>
    <x v="177"/>
    <x v="6"/>
    <x v="1"/>
  </r>
  <r>
    <n v="204890622"/>
    <x v="171"/>
    <x v="259"/>
    <x v="0"/>
    <n v="39"/>
    <s v="month"/>
    <x v="15"/>
    <x v="6"/>
    <x v="1"/>
  </r>
  <r>
    <n v="204206841"/>
    <x v="171"/>
    <x v="278"/>
    <x v="0"/>
    <n v="39"/>
    <s v="month"/>
    <x v="10"/>
    <x v="6"/>
    <x v="1"/>
  </r>
  <r>
    <n v="204955216"/>
    <x v="171"/>
    <x v="253"/>
    <x v="0"/>
    <n v="39"/>
    <s v="month"/>
    <x v="20"/>
    <x v="6"/>
    <x v="1"/>
  </r>
  <r>
    <n v="204992891"/>
    <x v="171"/>
    <x v="204"/>
    <x v="0"/>
    <n v="39"/>
    <s v="month"/>
    <x v="112"/>
    <x v="6"/>
    <x v="1"/>
  </r>
  <r>
    <n v="139152786"/>
    <x v="172"/>
    <x v="0"/>
    <x v="0"/>
    <n v="39"/>
    <s v="month"/>
    <x v="0"/>
    <x v="0"/>
    <x v="1"/>
  </r>
  <r>
    <n v="204753108"/>
    <x v="172"/>
    <x v="0"/>
    <x v="0"/>
    <n v="39"/>
    <s v="month"/>
    <x v="0"/>
    <x v="0"/>
    <x v="1"/>
  </r>
  <r>
    <n v="136703646"/>
    <x v="172"/>
    <x v="114"/>
    <x v="0"/>
    <n v="39"/>
    <s v="month"/>
    <x v="102"/>
    <x v="0"/>
    <x v="1"/>
  </r>
  <r>
    <n v="204294672"/>
    <x v="172"/>
    <x v="285"/>
    <x v="0"/>
    <n v="39"/>
    <s v="month"/>
    <x v="66"/>
    <x v="0"/>
    <x v="1"/>
  </r>
  <r>
    <n v="189505981"/>
    <x v="172"/>
    <x v="300"/>
    <x v="0"/>
    <n v="39"/>
    <s v="month"/>
    <x v="177"/>
    <x v="0"/>
    <x v="1"/>
  </r>
  <r>
    <n v="115899168"/>
    <x v="172"/>
    <x v="145"/>
    <x v="0"/>
    <n v="39"/>
    <s v="month"/>
    <x v="179"/>
    <x v="0"/>
    <x v="1"/>
  </r>
  <r>
    <n v="200117920"/>
    <x v="172"/>
    <x v="223"/>
    <x v="0"/>
    <n v="39"/>
    <s v="month"/>
    <x v="62"/>
    <x v="0"/>
    <x v="1"/>
  </r>
  <r>
    <n v="205057455"/>
    <x v="172"/>
    <x v="208"/>
    <x v="0"/>
    <n v="39"/>
    <s v="month"/>
    <x v="28"/>
    <x v="0"/>
    <x v="1"/>
  </r>
  <r>
    <n v="205028691"/>
    <x v="172"/>
    <x v="276"/>
    <x v="0"/>
    <n v="39"/>
    <s v="month"/>
    <x v="134"/>
    <x v="0"/>
    <x v="1"/>
  </r>
  <r>
    <n v="204857146"/>
    <x v="172"/>
    <x v="276"/>
    <x v="0"/>
    <n v="39"/>
    <s v="month"/>
    <x v="134"/>
    <x v="0"/>
    <x v="1"/>
  </r>
  <r>
    <n v="134131772"/>
    <x v="173"/>
    <x v="291"/>
    <x v="0"/>
    <n v="39"/>
    <s v="month"/>
    <x v="158"/>
    <x v="1"/>
    <x v="1"/>
  </r>
  <r>
    <n v="148942254"/>
    <x v="173"/>
    <x v="186"/>
    <x v="0"/>
    <n v="39"/>
    <s v="month"/>
    <x v="133"/>
    <x v="1"/>
    <x v="1"/>
  </r>
  <r>
    <n v="204512235"/>
    <x v="173"/>
    <x v="291"/>
    <x v="0"/>
    <n v="39"/>
    <s v="month"/>
    <x v="158"/>
    <x v="1"/>
    <x v="1"/>
  </r>
  <r>
    <n v="204977028"/>
    <x v="173"/>
    <x v="251"/>
    <x v="0"/>
    <n v="39"/>
    <s v="month"/>
    <x v="177"/>
    <x v="1"/>
    <x v="1"/>
  </r>
  <r>
    <n v="205122220"/>
    <x v="173"/>
    <x v="257"/>
    <x v="0"/>
    <n v="39"/>
    <s v="month"/>
    <x v="122"/>
    <x v="1"/>
    <x v="1"/>
  </r>
  <r>
    <n v="179578904"/>
    <x v="173"/>
    <x v="256"/>
    <x v="0"/>
    <n v="39"/>
    <s v="month"/>
    <x v="95"/>
    <x v="1"/>
    <x v="1"/>
  </r>
  <r>
    <n v="205120086"/>
    <x v="173"/>
    <x v="156"/>
    <x v="0"/>
    <n v="39"/>
    <s v="month"/>
    <x v="179"/>
    <x v="1"/>
    <x v="1"/>
  </r>
  <r>
    <n v="158097854"/>
    <x v="173"/>
    <x v="292"/>
    <x v="0"/>
    <n v="39"/>
    <s v="month"/>
    <x v="36"/>
    <x v="1"/>
    <x v="1"/>
  </r>
  <r>
    <n v="204760569"/>
    <x v="173"/>
    <x v="142"/>
    <x v="0"/>
    <n v="39"/>
    <s v="month"/>
    <x v="184"/>
    <x v="1"/>
    <x v="1"/>
  </r>
  <r>
    <n v="204982432"/>
    <x v="173"/>
    <x v="189"/>
    <x v="0"/>
    <n v="39"/>
    <s v="month"/>
    <x v="167"/>
    <x v="1"/>
    <x v="1"/>
  </r>
  <r>
    <n v="158351648"/>
    <x v="173"/>
    <x v="318"/>
    <x v="0"/>
    <n v="39"/>
    <s v="month"/>
    <x v="29"/>
    <x v="1"/>
    <x v="1"/>
  </r>
  <r>
    <n v="195325206"/>
    <x v="174"/>
    <x v="0"/>
    <x v="0"/>
    <n v="39"/>
    <s v="month"/>
    <x v="0"/>
    <x v="2"/>
    <x v="1"/>
  </r>
  <r>
    <n v="205102955"/>
    <x v="174"/>
    <x v="0"/>
    <x v="0"/>
    <n v="39"/>
    <s v="month"/>
    <x v="0"/>
    <x v="2"/>
    <x v="1"/>
  </r>
  <r>
    <n v="188092110"/>
    <x v="174"/>
    <x v="319"/>
    <x v="0"/>
    <n v="39"/>
    <s v="month"/>
    <x v="102"/>
    <x v="2"/>
    <x v="1"/>
  </r>
  <r>
    <n v="147615998"/>
    <x v="174"/>
    <x v="23"/>
    <x v="0"/>
    <n v="39"/>
    <s v="month"/>
    <x v="43"/>
    <x v="2"/>
    <x v="1"/>
  </r>
  <r>
    <n v="164751472"/>
    <x v="174"/>
    <x v="23"/>
    <x v="0"/>
    <n v="39"/>
    <s v="month"/>
    <x v="43"/>
    <x v="2"/>
    <x v="1"/>
  </r>
  <r>
    <n v="205215538"/>
    <x v="174"/>
    <x v="161"/>
    <x v="0"/>
    <n v="39"/>
    <s v="month"/>
    <x v="225"/>
    <x v="2"/>
    <x v="1"/>
  </r>
  <r>
    <n v="162962849"/>
    <x v="175"/>
    <x v="320"/>
    <x v="0"/>
    <n v="39"/>
    <s v="month"/>
    <x v="39"/>
    <x v="3"/>
    <x v="1"/>
  </r>
  <r>
    <n v="154229833"/>
    <x v="175"/>
    <x v="218"/>
    <x v="0"/>
    <n v="39"/>
    <s v="month"/>
    <x v="178"/>
    <x v="3"/>
    <x v="1"/>
  </r>
  <r>
    <n v="205338718"/>
    <x v="175"/>
    <x v="95"/>
    <x v="0"/>
    <n v="39"/>
    <s v="month"/>
    <x v="72"/>
    <x v="3"/>
    <x v="1"/>
  </r>
  <r>
    <n v="180798046"/>
    <x v="176"/>
    <x v="0"/>
    <x v="0"/>
    <n v="39"/>
    <s v="month"/>
    <x v="0"/>
    <x v="4"/>
    <x v="1"/>
  </r>
  <r>
    <n v="135298992"/>
    <x v="176"/>
    <x v="277"/>
    <x v="0"/>
    <n v="39"/>
    <s v="month"/>
    <x v="40"/>
    <x v="4"/>
    <x v="1"/>
  </r>
  <r>
    <n v="153141802"/>
    <x v="176"/>
    <x v="127"/>
    <x v="0"/>
    <n v="39"/>
    <s v="month"/>
    <x v="126"/>
    <x v="4"/>
    <x v="1"/>
  </r>
  <r>
    <n v="189149014"/>
    <x v="176"/>
    <x v="177"/>
    <x v="0"/>
    <n v="39"/>
    <s v="month"/>
    <x v="91"/>
    <x v="4"/>
    <x v="1"/>
  </r>
  <r>
    <n v="180438277"/>
    <x v="176"/>
    <x v="171"/>
    <x v="0"/>
    <n v="39"/>
    <s v="month"/>
    <x v="18"/>
    <x v="4"/>
    <x v="1"/>
  </r>
  <r>
    <n v="205471532"/>
    <x v="176"/>
    <x v="228"/>
    <x v="0"/>
    <n v="39"/>
    <s v="month"/>
    <x v="26"/>
    <x v="4"/>
    <x v="1"/>
  </r>
  <r>
    <n v="188065488"/>
    <x v="176"/>
    <x v="152"/>
    <x v="0"/>
    <n v="39"/>
    <s v="month"/>
    <x v="110"/>
    <x v="4"/>
    <x v="1"/>
  </r>
  <r>
    <n v="205387672"/>
    <x v="176"/>
    <x v="319"/>
    <x v="0"/>
    <n v="39"/>
    <s v="month"/>
    <x v="80"/>
    <x v="4"/>
    <x v="1"/>
  </r>
  <r>
    <n v="196251908"/>
    <x v="176"/>
    <x v="188"/>
    <x v="0"/>
    <n v="39"/>
    <s v="month"/>
    <x v="11"/>
    <x v="4"/>
    <x v="1"/>
  </r>
  <r>
    <n v="157884031"/>
    <x v="176"/>
    <x v="292"/>
    <x v="0"/>
    <n v="39"/>
    <s v="month"/>
    <x v="28"/>
    <x v="4"/>
    <x v="1"/>
  </r>
  <r>
    <n v="204571386"/>
    <x v="176"/>
    <x v="78"/>
    <x v="0"/>
    <n v="39"/>
    <s v="month"/>
    <x v="15"/>
    <x v="4"/>
    <x v="1"/>
  </r>
  <r>
    <n v="162909529"/>
    <x v="176"/>
    <x v="222"/>
    <x v="0"/>
    <n v="39"/>
    <s v="month"/>
    <x v="233"/>
    <x v="4"/>
    <x v="1"/>
  </r>
  <r>
    <n v="152043244"/>
    <x v="177"/>
    <x v="0"/>
    <x v="0"/>
    <n v="39"/>
    <s v="month"/>
    <x v="0"/>
    <x v="5"/>
    <x v="1"/>
  </r>
  <r>
    <n v="204567111"/>
    <x v="177"/>
    <x v="0"/>
    <x v="0"/>
    <n v="39"/>
    <s v="month"/>
    <x v="0"/>
    <x v="5"/>
    <x v="1"/>
  </r>
  <r>
    <n v="205487880"/>
    <x v="177"/>
    <x v="0"/>
    <x v="0"/>
    <n v="39"/>
    <s v="month"/>
    <x v="0"/>
    <x v="5"/>
    <x v="1"/>
  </r>
  <r>
    <n v="205489808"/>
    <x v="177"/>
    <x v="0"/>
    <x v="0"/>
    <n v="39"/>
    <s v="month"/>
    <x v="0"/>
    <x v="5"/>
    <x v="1"/>
  </r>
  <r>
    <n v="125828506"/>
    <x v="177"/>
    <x v="50"/>
    <x v="0"/>
    <n v="39"/>
    <s v="month"/>
    <x v="1"/>
    <x v="5"/>
    <x v="1"/>
  </r>
  <r>
    <n v="154701159"/>
    <x v="177"/>
    <x v="95"/>
    <x v="0"/>
    <n v="39"/>
    <s v="month"/>
    <x v="62"/>
    <x v="5"/>
    <x v="1"/>
  </r>
  <r>
    <n v="204865394"/>
    <x v="177"/>
    <x v="156"/>
    <x v="0"/>
    <n v="39"/>
    <s v="month"/>
    <x v="167"/>
    <x v="5"/>
    <x v="1"/>
  </r>
  <r>
    <n v="205044276"/>
    <x v="177"/>
    <x v="228"/>
    <x v="0"/>
    <n v="39"/>
    <s v="month"/>
    <x v="27"/>
    <x v="5"/>
    <x v="1"/>
  </r>
  <r>
    <n v="194873337"/>
    <x v="177"/>
    <x v="256"/>
    <x v="0"/>
    <n v="39"/>
    <s v="month"/>
    <x v="78"/>
    <x v="5"/>
    <x v="1"/>
  </r>
  <r>
    <n v="205492734"/>
    <x v="177"/>
    <x v="223"/>
    <x v="0"/>
    <n v="39"/>
    <s v="month"/>
    <x v="2"/>
    <x v="5"/>
    <x v="1"/>
  </r>
  <r>
    <n v="205548739"/>
    <x v="178"/>
    <x v="0"/>
    <x v="0"/>
    <n v="39"/>
    <s v="month"/>
    <x v="0"/>
    <x v="6"/>
    <x v="1"/>
  </r>
  <r>
    <n v="202228372"/>
    <x v="178"/>
    <x v="0"/>
    <x v="0"/>
    <n v="39"/>
    <s v="month"/>
    <x v="0"/>
    <x v="6"/>
    <x v="1"/>
  </r>
  <r>
    <n v="205034931"/>
    <x v="178"/>
    <x v="161"/>
    <x v="1"/>
    <n v="39"/>
    <s v="month"/>
    <x v="1"/>
    <x v="6"/>
    <x v="1"/>
  </r>
  <r>
    <n v="205129178"/>
    <x v="178"/>
    <x v="173"/>
    <x v="0"/>
    <n v="39"/>
    <s v="month"/>
    <x v="158"/>
    <x v="6"/>
    <x v="1"/>
  </r>
  <r>
    <n v="160114911"/>
    <x v="178"/>
    <x v="239"/>
    <x v="0"/>
    <n v="39"/>
    <s v="month"/>
    <x v="87"/>
    <x v="6"/>
    <x v="1"/>
  </r>
  <r>
    <n v="168200039"/>
    <x v="178"/>
    <x v="239"/>
    <x v="0"/>
    <n v="39"/>
    <s v="month"/>
    <x v="87"/>
    <x v="6"/>
    <x v="1"/>
  </r>
  <r>
    <n v="190622411"/>
    <x v="178"/>
    <x v="156"/>
    <x v="0"/>
    <n v="39"/>
    <s v="month"/>
    <x v="36"/>
    <x v="6"/>
    <x v="1"/>
  </r>
  <r>
    <n v="204528713"/>
    <x v="178"/>
    <x v="256"/>
    <x v="0"/>
    <n v="39"/>
    <s v="month"/>
    <x v="122"/>
    <x v="6"/>
    <x v="1"/>
  </r>
  <r>
    <n v="205573796"/>
    <x v="178"/>
    <x v="257"/>
    <x v="0"/>
    <n v="39"/>
    <s v="month"/>
    <x v="102"/>
    <x v="6"/>
    <x v="1"/>
  </r>
  <r>
    <n v="182009986"/>
    <x v="178"/>
    <x v="231"/>
    <x v="0"/>
    <n v="39"/>
    <s v="month"/>
    <x v="44"/>
    <x v="6"/>
    <x v="1"/>
  </r>
  <r>
    <n v="205606022"/>
    <x v="178"/>
    <x v="233"/>
    <x v="0"/>
    <n v="39"/>
    <s v="month"/>
    <x v="40"/>
    <x v="6"/>
    <x v="1"/>
  </r>
  <r>
    <n v="205580089"/>
    <x v="178"/>
    <x v="292"/>
    <x v="0"/>
    <n v="39"/>
    <s v="month"/>
    <x v="72"/>
    <x v="6"/>
    <x v="1"/>
  </r>
  <r>
    <n v="192949504"/>
    <x v="178"/>
    <x v="125"/>
    <x v="0"/>
    <n v="39"/>
    <s v="month"/>
    <x v="62"/>
    <x v="6"/>
    <x v="1"/>
  </r>
  <r>
    <n v="205658636"/>
    <x v="179"/>
    <x v="0"/>
    <x v="0"/>
    <n v="39"/>
    <s v="month"/>
    <x v="0"/>
    <x v="0"/>
    <x v="1"/>
  </r>
  <r>
    <n v="205615727"/>
    <x v="179"/>
    <x v="321"/>
    <x v="0"/>
    <n v="39"/>
    <s v="month"/>
    <x v="101"/>
    <x v="0"/>
    <x v="1"/>
  </r>
  <r>
    <n v="205448424"/>
    <x v="179"/>
    <x v="159"/>
    <x v="0"/>
    <n v="39"/>
    <s v="month"/>
    <x v="75"/>
    <x v="0"/>
    <x v="1"/>
  </r>
  <r>
    <n v="196009696"/>
    <x v="179"/>
    <x v="101"/>
    <x v="0"/>
    <n v="39"/>
    <s v="month"/>
    <x v="94"/>
    <x v="0"/>
    <x v="1"/>
  </r>
  <r>
    <n v="205026372"/>
    <x v="179"/>
    <x v="101"/>
    <x v="0"/>
    <n v="39"/>
    <s v="month"/>
    <x v="94"/>
    <x v="0"/>
    <x v="1"/>
  </r>
  <r>
    <n v="167165752"/>
    <x v="179"/>
    <x v="159"/>
    <x v="0"/>
    <n v="39"/>
    <s v="month"/>
    <x v="75"/>
    <x v="0"/>
    <x v="1"/>
  </r>
  <r>
    <n v="205664425"/>
    <x v="179"/>
    <x v="152"/>
    <x v="0"/>
    <n v="39"/>
    <s v="month"/>
    <x v="7"/>
    <x v="0"/>
    <x v="1"/>
  </r>
  <r>
    <n v="199179611"/>
    <x v="179"/>
    <x v="275"/>
    <x v="0"/>
    <n v="39"/>
    <s v="month"/>
    <x v="55"/>
    <x v="0"/>
    <x v="1"/>
  </r>
  <r>
    <n v="205660933"/>
    <x v="179"/>
    <x v="146"/>
    <x v="0"/>
    <n v="39"/>
    <s v="month"/>
    <x v="28"/>
    <x v="0"/>
    <x v="1"/>
  </r>
  <r>
    <n v="205660195"/>
    <x v="179"/>
    <x v="145"/>
    <x v="0"/>
    <n v="39"/>
    <s v="month"/>
    <x v="50"/>
    <x v="0"/>
    <x v="1"/>
  </r>
  <r>
    <n v="168598418"/>
    <x v="179"/>
    <x v="248"/>
    <x v="0"/>
    <n v="39"/>
    <s v="month"/>
    <x v="187"/>
    <x v="0"/>
    <x v="1"/>
  </r>
  <r>
    <n v="161182367"/>
    <x v="179"/>
    <x v="319"/>
    <x v="0"/>
    <n v="39"/>
    <s v="month"/>
    <x v="87"/>
    <x v="0"/>
    <x v="1"/>
  </r>
  <r>
    <n v="156943008"/>
    <x v="179"/>
    <x v="161"/>
    <x v="0"/>
    <n v="39"/>
    <s v="month"/>
    <x v="11"/>
    <x v="0"/>
    <x v="1"/>
  </r>
  <r>
    <n v="190657026"/>
    <x v="179"/>
    <x v="231"/>
    <x v="0"/>
    <n v="39"/>
    <s v="month"/>
    <x v="62"/>
    <x v="0"/>
    <x v="1"/>
  </r>
  <r>
    <n v="205700946"/>
    <x v="180"/>
    <x v="0"/>
    <x v="0"/>
    <n v="39"/>
    <s v="month"/>
    <x v="0"/>
    <x v="1"/>
    <x v="1"/>
  </r>
  <r>
    <n v="165807144"/>
    <x v="180"/>
    <x v="0"/>
    <x v="0"/>
    <n v="39"/>
    <s v="month"/>
    <x v="0"/>
    <x v="1"/>
    <x v="1"/>
  </r>
  <r>
    <n v="125635419"/>
    <x v="180"/>
    <x v="250"/>
    <x v="0"/>
    <n v="39"/>
    <s v="month"/>
    <x v="1"/>
    <x v="1"/>
    <x v="1"/>
  </r>
  <r>
    <n v="205707486"/>
    <x v="180"/>
    <x v="250"/>
    <x v="1"/>
    <n v="39"/>
    <s v="month"/>
    <x v="1"/>
    <x v="1"/>
    <x v="1"/>
  </r>
  <r>
    <n v="150663700"/>
    <x v="180"/>
    <x v="250"/>
    <x v="1"/>
    <n v="39"/>
    <s v="month"/>
    <x v="1"/>
    <x v="1"/>
    <x v="1"/>
  </r>
  <r>
    <n v="149157588"/>
    <x v="180"/>
    <x v="15"/>
    <x v="0"/>
    <n v="39"/>
    <s v="month"/>
    <x v="39"/>
    <x v="1"/>
    <x v="1"/>
  </r>
  <r>
    <n v="205686881"/>
    <x v="180"/>
    <x v="157"/>
    <x v="0"/>
    <n v="39"/>
    <s v="month"/>
    <x v="106"/>
    <x v="1"/>
    <x v="1"/>
  </r>
  <r>
    <n v="138347540"/>
    <x v="180"/>
    <x v="4"/>
    <x v="0"/>
    <n v="39"/>
    <s v="month"/>
    <x v="177"/>
    <x v="1"/>
    <x v="1"/>
  </r>
  <r>
    <n v="154344817"/>
    <x v="180"/>
    <x v="289"/>
    <x v="0"/>
    <n v="39"/>
    <s v="month"/>
    <x v="122"/>
    <x v="1"/>
    <x v="1"/>
  </r>
  <r>
    <n v="205530810"/>
    <x v="180"/>
    <x v="17"/>
    <x v="0"/>
    <n v="39"/>
    <s v="month"/>
    <x v="87"/>
    <x v="1"/>
    <x v="1"/>
  </r>
  <r>
    <n v="205731473"/>
    <x v="180"/>
    <x v="277"/>
    <x v="0"/>
    <n v="39"/>
    <s v="month"/>
    <x v="178"/>
    <x v="1"/>
    <x v="1"/>
  </r>
  <r>
    <n v="205692510"/>
    <x v="181"/>
    <x v="0"/>
    <x v="0"/>
    <n v="39"/>
    <s v="month"/>
    <x v="0"/>
    <x v="2"/>
    <x v="1"/>
  </r>
  <r>
    <n v="191670525"/>
    <x v="181"/>
    <x v="82"/>
    <x v="0"/>
    <n v="39"/>
    <s v="month"/>
    <x v="88"/>
    <x v="2"/>
    <x v="1"/>
  </r>
  <r>
    <n v="205492489"/>
    <x v="181"/>
    <x v="322"/>
    <x v="0"/>
    <n v="39"/>
    <s v="month"/>
    <x v="39"/>
    <x v="2"/>
    <x v="1"/>
  </r>
  <r>
    <n v="205026942"/>
    <x v="181"/>
    <x v="243"/>
    <x v="0"/>
    <n v="39"/>
    <s v="month"/>
    <x v="94"/>
    <x v="2"/>
    <x v="1"/>
  </r>
  <r>
    <n v="205768824"/>
    <x v="181"/>
    <x v="16"/>
    <x v="0"/>
    <n v="39"/>
    <s v="month"/>
    <x v="44"/>
    <x v="2"/>
    <x v="1"/>
  </r>
  <r>
    <n v="160824884"/>
    <x v="181"/>
    <x v="146"/>
    <x v="0"/>
    <n v="39"/>
    <s v="month"/>
    <x v="72"/>
    <x v="2"/>
    <x v="1"/>
  </r>
  <r>
    <n v="205742224"/>
    <x v="181"/>
    <x v="250"/>
    <x v="0"/>
    <n v="39"/>
    <s v="month"/>
    <x v="11"/>
    <x v="2"/>
    <x v="1"/>
  </r>
  <r>
    <n v="205804144"/>
    <x v="182"/>
    <x v="321"/>
    <x v="0"/>
    <n v="39"/>
    <s v="month"/>
    <x v="91"/>
    <x v="3"/>
    <x v="1"/>
  </r>
  <r>
    <n v="205703512"/>
    <x v="182"/>
    <x v="323"/>
    <x v="0"/>
    <n v="39"/>
    <s v="month"/>
    <x v="93"/>
    <x v="3"/>
    <x v="1"/>
  </r>
  <r>
    <n v="131181843"/>
    <x v="182"/>
    <x v="281"/>
    <x v="0"/>
    <n v="39"/>
    <s v="month"/>
    <x v="11"/>
    <x v="3"/>
    <x v="1"/>
  </r>
  <r>
    <n v="205713052"/>
    <x v="183"/>
    <x v="0"/>
    <x v="0"/>
    <n v="39"/>
    <s v="month"/>
    <x v="0"/>
    <x v="4"/>
    <x v="1"/>
  </r>
  <r>
    <n v="138121122"/>
    <x v="183"/>
    <x v="0"/>
    <x v="0"/>
    <n v="39"/>
    <s v="month"/>
    <x v="0"/>
    <x v="4"/>
    <x v="1"/>
  </r>
  <r>
    <n v="191326286"/>
    <x v="183"/>
    <x v="0"/>
    <x v="0"/>
    <n v="39"/>
    <s v="month"/>
    <x v="0"/>
    <x v="4"/>
    <x v="1"/>
  </r>
  <r>
    <n v="178838732"/>
    <x v="183"/>
    <x v="0"/>
    <x v="0"/>
    <n v="39"/>
    <s v="month"/>
    <x v="0"/>
    <x v="4"/>
    <x v="1"/>
  </r>
  <r>
    <n v="205871342"/>
    <x v="183"/>
    <x v="0"/>
    <x v="0"/>
    <n v="39"/>
    <s v="month"/>
    <x v="0"/>
    <x v="4"/>
    <x v="1"/>
  </r>
  <r>
    <n v="202160641"/>
    <x v="183"/>
    <x v="304"/>
    <x v="0"/>
    <n v="39"/>
    <s v="month"/>
    <x v="53"/>
    <x v="4"/>
    <x v="1"/>
  </r>
  <r>
    <n v="205786362"/>
    <x v="183"/>
    <x v="324"/>
    <x v="0"/>
    <n v="39"/>
    <s v="month"/>
    <x v="18"/>
    <x v="4"/>
    <x v="1"/>
  </r>
  <r>
    <n v="159798906"/>
    <x v="183"/>
    <x v="114"/>
    <x v="0"/>
    <n v="39"/>
    <s v="month"/>
    <x v="50"/>
    <x v="4"/>
    <x v="1"/>
  </r>
  <r>
    <n v="166276152"/>
    <x v="183"/>
    <x v="145"/>
    <x v="0"/>
    <n v="39"/>
    <s v="month"/>
    <x v="44"/>
    <x v="4"/>
    <x v="1"/>
  </r>
  <r>
    <n v="156353738"/>
    <x v="183"/>
    <x v="32"/>
    <x v="0"/>
    <n v="39"/>
    <s v="month"/>
    <x v="42"/>
    <x v="4"/>
    <x v="1"/>
  </r>
  <r>
    <n v="205864612"/>
    <x v="183"/>
    <x v="259"/>
    <x v="0"/>
    <n v="39"/>
    <s v="month"/>
    <x v="71"/>
    <x v="4"/>
    <x v="1"/>
  </r>
  <r>
    <n v="142757196"/>
    <x v="184"/>
    <x v="325"/>
    <x v="0"/>
    <n v="39"/>
    <s v="month"/>
    <x v="121"/>
    <x v="5"/>
    <x v="1"/>
  </r>
  <r>
    <n v="205971108"/>
    <x v="184"/>
    <x v="311"/>
    <x v="0"/>
    <n v="39"/>
    <s v="month"/>
    <x v="133"/>
    <x v="5"/>
    <x v="1"/>
  </r>
  <r>
    <n v="206001231"/>
    <x v="184"/>
    <x v="285"/>
    <x v="0"/>
    <n v="39"/>
    <s v="month"/>
    <x v="93"/>
    <x v="5"/>
    <x v="1"/>
  </r>
  <r>
    <n v="205878686"/>
    <x v="184"/>
    <x v="191"/>
    <x v="0"/>
    <n v="39"/>
    <s v="month"/>
    <x v="11"/>
    <x v="5"/>
    <x v="1"/>
  </r>
  <r>
    <n v="206052140"/>
    <x v="185"/>
    <x v="0"/>
    <x v="0"/>
    <n v="39"/>
    <s v="month"/>
    <x v="0"/>
    <x v="6"/>
    <x v="1"/>
  </r>
  <r>
    <n v="154082747"/>
    <x v="185"/>
    <x v="162"/>
    <x v="0"/>
    <n v="39"/>
    <s v="month"/>
    <x v="1"/>
    <x v="6"/>
    <x v="1"/>
  </r>
  <r>
    <n v="206017161"/>
    <x v="185"/>
    <x v="162"/>
    <x v="1"/>
    <n v="39"/>
    <s v="month"/>
    <x v="1"/>
    <x v="6"/>
    <x v="1"/>
  </r>
  <r>
    <n v="203152686"/>
    <x v="185"/>
    <x v="326"/>
    <x v="0"/>
    <n v="39"/>
    <s v="month"/>
    <x v="61"/>
    <x v="6"/>
    <x v="1"/>
  </r>
  <r>
    <n v="203320717"/>
    <x v="185"/>
    <x v="114"/>
    <x v="0"/>
    <n v="39"/>
    <s v="month"/>
    <x v="35"/>
    <x v="6"/>
    <x v="1"/>
  </r>
  <r>
    <n v="206076518"/>
    <x v="186"/>
    <x v="0"/>
    <x v="0"/>
    <n v="39"/>
    <s v="month"/>
    <x v="0"/>
    <x v="0"/>
    <x v="1"/>
  </r>
  <r>
    <n v="205881578"/>
    <x v="186"/>
    <x v="66"/>
    <x v="0"/>
    <n v="39"/>
    <s v="month"/>
    <x v="227"/>
    <x v="0"/>
    <x v="1"/>
  </r>
  <r>
    <n v="152513944"/>
    <x v="186"/>
    <x v="276"/>
    <x v="0"/>
    <n v="39"/>
    <s v="month"/>
    <x v="1"/>
    <x v="0"/>
    <x v="1"/>
  </r>
  <r>
    <n v="132371176"/>
    <x v="186"/>
    <x v="276"/>
    <x v="1"/>
    <n v="39"/>
    <s v="month"/>
    <x v="1"/>
    <x v="0"/>
    <x v="1"/>
  </r>
  <r>
    <n v="135092264"/>
    <x v="186"/>
    <x v="279"/>
    <x v="0"/>
    <n v="39"/>
    <s v="month"/>
    <x v="121"/>
    <x v="0"/>
    <x v="1"/>
  </r>
  <r>
    <n v="151297084"/>
    <x v="186"/>
    <x v="45"/>
    <x v="0"/>
    <n v="39"/>
    <s v="month"/>
    <x v="148"/>
    <x v="0"/>
    <x v="1"/>
  </r>
  <r>
    <n v="167010855"/>
    <x v="186"/>
    <x v="308"/>
    <x v="0"/>
    <n v="39"/>
    <s v="month"/>
    <x v="53"/>
    <x v="0"/>
    <x v="1"/>
  </r>
  <r>
    <n v="206122788"/>
    <x v="186"/>
    <x v="291"/>
    <x v="0"/>
    <n v="39"/>
    <s v="month"/>
    <x v="106"/>
    <x v="0"/>
    <x v="1"/>
  </r>
  <r>
    <n v="158439764"/>
    <x v="186"/>
    <x v="251"/>
    <x v="0"/>
    <n v="39"/>
    <s v="month"/>
    <x v="95"/>
    <x v="0"/>
    <x v="1"/>
  </r>
  <r>
    <n v="136723151"/>
    <x v="186"/>
    <x v="114"/>
    <x v="0"/>
    <n v="39"/>
    <s v="month"/>
    <x v="72"/>
    <x v="0"/>
    <x v="1"/>
  </r>
  <r>
    <n v="205875358"/>
    <x v="186"/>
    <x v="248"/>
    <x v="0"/>
    <n v="39"/>
    <s v="month"/>
    <x v="34"/>
    <x v="0"/>
    <x v="1"/>
  </r>
  <r>
    <n v="206082900"/>
    <x v="186"/>
    <x v="222"/>
    <x v="0"/>
    <n v="39"/>
    <s v="month"/>
    <x v="153"/>
    <x v="0"/>
    <x v="1"/>
  </r>
  <r>
    <n v="206139451"/>
    <x v="187"/>
    <x v="0"/>
    <x v="0"/>
    <n v="39"/>
    <s v="month"/>
    <x v="0"/>
    <x v="1"/>
    <x v="1"/>
  </r>
  <r>
    <n v="206196328"/>
    <x v="187"/>
    <x v="0"/>
    <x v="0"/>
    <n v="39"/>
    <s v="month"/>
    <x v="0"/>
    <x v="1"/>
    <x v="1"/>
  </r>
  <r>
    <n v="201122030"/>
    <x v="187"/>
    <x v="304"/>
    <x v="0"/>
    <n v="39"/>
    <s v="month"/>
    <x v="168"/>
    <x v="1"/>
    <x v="1"/>
  </r>
  <r>
    <n v="156218152"/>
    <x v="187"/>
    <x v="270"/>
    <x v="0"/>
    <n v="39"/>
    <s v="month"/>
    <x v="53"/>
    <x v="1"/>
    <x v="1"/>
  </r>
  <r>
    <n v="162718092"/>
    <x v="187"/>
    <x v="15"/>
    <x v="0"/>
    <n v="39"/>
    <s v="month"/>
    <x v="94"/>
    <x v="1"/>
    <x v="1"/>
  </r>
  <r>
    <n v="174606946"/>
    <x v="187"/>
    <x v="96"/>
    <x v="0"/>
    <n v="39"/>
    <s v="month"/>
    <x v="8"/>
    <x v="1"/>
    <x v="1"/>
  </r>
  <r>
    <n v="206159331"/>
    <x v="187"/>
    <x v="120"/>
    <x v="0"/>
    <n v="39"/>
    <s v="month"/>
    <x v="134"/>
    <x v="1"/>
    <x v="1"/>
  </r>
  <r>
    <n v="206272716"/>
    <x v="188"/>
    <x v="0"/>
    <x v="0"/>
    <n v="39"/>
    <s v="month"/>
    <x v="0"/>
    <x v="2"/>
    <x v="1"/>
  </r>
  <r>
    <n v="138104184"/>
    <x v="188"/>
    <x v="290"/>
    <x v="0"/>
    <n v="39"/>
    <s v="month"/>
    <x v="115"/>
    <x v="2"/>
    <x v="1"/>
  </r>
  <r>
    <n v="168264884"/>
    <x v="188"/>
    <x v="15"/>
    <x v="0"/>
    <n v="39"/>
    <s v="month"/>
    <x v="8"/>
    <x v="2"/>
    <x v="1"/>
  </r>
  <r>
    <n v="153200640"/>
    <x v="188"/>
    <x v="327"/>
    <x v="0"/>
    <n v="39"/>
    <s v="month"/>
    <x v="50"/>
    <x v="2"/>
    <x v="1"/>
  </r>
  <r>
    <n v="206251362"/>
    <x v="188"/>
    <x v="256"/>
    <x v="0"/>
    <n v="39"/>
    <s v="month"/>
    <x v="87"/>
    <x v="2"/>
    <x v="1"/>
  </r>
  <r>
    <n v="192386902"/>
    <x v="188"/>
    <x v="256"/>
    <x v="0"/>
    <n v="39"/>
    <s v="month"/>
    <x v="87"/>
    <x v="2"/>
    <x v="1"/>
  </r>
  <r>
    <n v="205851263"/>
    <x v="188"/>
    <x v="218"/>
    <x v="0"/>
    <n v="39"/>
    <s v="month"/>
    <x v="175"/>
    <x v="2"/>
    <x v="1"/>
  </r>
  <r>
    <n v="197873706"/>
    <x v="189"/>
    <x v="328"/>
    <x v="0"/>
    <n v="39"/>
    <s v="month"/>
    <x v="74"/>
    <x v="3"/>
    <x v="1"/>
  </r>
  <r>
    <n v="206284048"/>
    <x v="189"/>
    <x v="259"/>
    <x v="0"/>
    <n v="39"/>
    <s v="month"/>
    <x v="230"/>
    <x v="3"/>
    <x v="1"/>
  </r>
  <r>
    <n v="149761545"/>
    <x v="189"/>
    <x v="329"/>
    <x v="0"/>
    <n v="39"/>
    <s v="month"/>
    <x v="189"/>
    <x v="3"/>
    <x v="1"/>
  </r>
  <r>
    <n v="155010717"/>
    <x v="190"/>
    <x v="285"/>
    <x v="0"/>
    <n v="39"/>
    <s v="month"/>
    <x v="132"/>
    <x v="4"/>
    <x v="1"/>
  </r>
  <r>
    <n v="151407531"/>
    <x v="190"/>
    <x v="327"/>
    <x v="0"/>
    <n v="39"/>
    <s v="month"/>
    <x v="35"/>
    <x v="4"/>
    <x v="1"/>
  </r>
  <r>
    <n v="206407796"/>
    <x v="190"/>
    <x v="82"/>
    <x v="0"/>
    <n v="39"/>
    <s v="month"/>
    <x v="8"/>
    <x v="4"/>
    <x v="1"/>
  </r>
  <r>
    <n v="206247835"/>
    <x v="190"/>
    <x v="45"/>
    <x v="0"/>
    <n v="39"/>
    <s v="month"/>
    <x v="200"/>
    <x v="4"/>
    <x v="1"/>
  </r>
  <r>
    <n v="206382927"/>
    <x v="190"/>
    <x v="330"/>
    <x v="0"/>
    <n v="39"/>
    <s v="month"/>
    <x v="130"/>
    <x v="4"/>
    <x v="1"/>
  </r>
  <r>
    <n v="206147500"/>
    <x v="190"/>
    <x v="317"/>
    <x v="0"/>
    <n v="39"/>
    <s v="month"/>
    <x v="177"/>
    <x v="4"/>
    <x v="1"/>
  </r>
  <r>
    <n v="206330714"/>
    <x v="190"/>
    <x v="114"/>
    <x v="0"/>
    <n v="39"/>
    <s v="month"/>
    <x v="9"/>
    <x v="4"/>
    <x v="1"/>
  </r>
  <r>
    <n v="206121650"/>
    <x v="190"/>
    <x v="319"/>
    <x v="0"/>
    <n v="39"/>
    <s v="month"/>
    <x v="62"/>
    <x v="4"/>
    <x v="1"/>
  </r>
  <r>
    <n v="182504578"/>
    <x v="190"/>
    <x v="289"/>
    <x v="0"/>
    <n v="39"/>
    <s v="month"/>
    <x v="87"/>
    <x v="4"/>
    <x v="1"/>
  </r>
  <r>
    <n v="204362311"/>
    <x v="190"/>
    <x v="69"/>
    <x v="0"/>
    <n v="39"/>
    <s v="month"/>
    <x v="49"/>
    <x v="4"/>
    <x v="1"/>
  </r>
  <r>
    <n v="206504573"/>
    <x v="191"/>
    <x v="0"/>
    <x v="0"/>
    <n v="39"/>
    <s v="month"/>
    <x v="0"/>
    <x v="5"/>
    <x v="1"/>
  </r>
  <r>
    <n v="206490851"/>
    <x v="191"/>
    <x v="0"/>
    <x v="0"/>
    <n v="39"/>
    <s v="month"/>
    <x v="0"/>
    <x v="5"/>
    <x v="1"/>
  </r>
  <r>
    <n v="206468868"/>
    <x v="191"/>
    <x v="0"/>
    <x v="0"/>
    <n v="39"/>
    <s v="month"/>
    <x v="0"/>
    <x v="5"/>
    <x v="1"/>
  </r>
  <r>
    <n v="206316124"/>
    <x v="191"/>
    <x v="0"/>
    <x v="0"/>
    <n v="39"/>
    <s v="month"/>
    <x v="0"/>
    <x v="5"/>
    <x v="1"/>
  </r>
  <r>
    <n v="203404034"/>
    <x v="191"/>
    <x v="311"/>
    <x v="0"/>
    <n v="39"/>
    <s v="month"/>
    <x v="181"/>
    <x v="5"/>
    <x v="1"/>
  </r>
  <r>
    <n v="206284545"/>
    <x v="191"/>
    <x v="127"/>
    <x v="0"/>
    <n v="39"/>
    <s v="month"/>
    <x v="18"/>
    <x v="5"/>
    <x v="1"/>
  </r>
  <r>
    <n v="206470657"/>
    <x v="191"/>
    <x v="284"/>
    <x v="0"/>
    <n v="39"/>
    <s v="month"/>
    <x v="43"/>
    <x v="5"/>
    <x v="1"/>
  </r>
  <r>
    <n v="206458744"/>
    <x v="191"/>
    <x v="266"/>
    <x v="0"/>
    <n v="39"/>
    <s v="month"/>
    <x v="80"/>
    <x v="5"/>
    <x v="1"/>
  </r>
  <r>
    <n v="206122814"/>
    <x v="191"/>
    <x v="257"/>
    <x v="0"/>
    <n v="39"/>
    <s v="month"/>
    <x v="35"/>
    <x v="5"/>
    <x v="1"/>
  </r>
  <r>
    <n v="206549666"/>
    <x v="192"/>
    <x v="0"/>
    <x v="0"/>
    <n v="39"/>
    <s v="month"/>
    <x v="0"/>
    <x v="6"/>
    <x v="1"/>
  </r>
  <r>
    <n v="133623621"/>
    <x v="192"/>
    <x v="0"/>
    <x v="0"/>
    <n v="39"/>
    <s v="month"/>
    <x v="0"/>
    <x v="6"/>
    <x v="1"/>
  </r>
  <r>
    <n v="130982816"/>
    <x v="192"/>
    <x v="0"/>
    <x v="0"/>
    <n v="39"/>
    <s v="month"/>
    <x v="0"/>
    <x v="6"/>
    <x v="1"/>
  </r>
  <r>
    <n v="143776119"/>
    <x v="192"/>
    <x v="331"/>
    <x v="0"/>
    <n v="39"/>
    <s v="month"/>
    <x v="195"/>
    <x v="6"/>
    <x v="1"/>
  </r>
  <r>
    <n v="206542743"/>
    <x v="192"/>
    <x v="220"/>
    <x v="1"/>
    <n v="39"/>
    <s v="month"/>
    <x v="1"/>
    <x v="6"/>
    <x v="1"/>
  </r>
  <r>
    <n v="206158603"/>
    <x v="192"/>
    <x v="220"/>
    <x v="1"/>
    <n v="39"/>
    <s v="month"/>
    <x v="1"/>
    <x v="6"/>
    <x v="1"/>
  </r>
  <r>
    <n v="206548046"/>
    <x v="192"/>
    <x v="308"/>
    <x v="0"/>
    <n v="39"/>
    <s v="month"/>
    <x v="93"/>
    <x v="6"/>
    <x v="1"/>
  </r>
  <r>
    <n v="168464004"/>
    <x v="192"/>
    <x v="73"/>
    <x v="0"/>
    <n v="39"/>
    <s v="month"/>
    <x v="234"/>
    <x v="6"/>
    <x v="1"/>
  </r>
  <r>
    <n v="146330379"/>
    <x v="192"/>
    <x v="185"/>
    <x v="0"/>
    <n v="39"/>
    <s v="month"/>
    <x v="167"/>
    <x v="6"/>
    <x v="1"/>
  </r>
  <r>
    <n v="206006946"/>
    <x v="192"/>
    <x v="288"/>
    <x v="0"/>
    <n v="39"/>
    <s v="month"/>
    <x v="39"/>
    <x v="6"/>
    <x v="1"/>
  </r>
  <r>
    <n v="206531388"/>
    <x v="192"/>
    <x v="22"/>
    <x v="0"/>
    <n v="39"/>
    <s v="month"/>
    <x v="86"/>
    <x v="6"/>
    <x v="1"/>
  </r>
  <r>
    <n v="206512820"/>
    <x v="192"/>
    <x v="315"/>
    <x v="0"/>
    <n v="39"/>
    <s v="month"/>
    <x v="68"/>
    <x v="6"/>
    <x v="1"/>
  </r>
  <r>
    <n v="206501414"/>
    <x v="193"/>
    <x v="0"/>
    <x v="0"/>
    <n v="39"/>
    <s v="month"/>
    <x v="0"/>
    <x v="0"/>
    <x v="1"/>
  </r>
  <r>
    <n v="181175226"/>
    <x v="193"/>
    <x v="189"/>
    <x v="0"/>
    <n v="39"/>
    <s v="month"/>
    <x v="134"/>
    <x v="0"/>
    <x v="1"/>
  </r>
  <r>
    <n v="148758550"/>
    <x v="194"/>
    <x v="0"/>
    <x v="0"/>
    <n v="39"/>
    <s v="month"/>
    <x v="0"/>
    <x v="1"/>
    <x v="1"/>
  </r>
  <r>
    <n v="206682036"/>
    <x v="194"/>
    <x v="0"/>
    <x v="0"/>
    <n v="39"/>
    <s v="month"/>
    <x v="0"/>
    <x v="1"/>
    <x v="1"/>
  </r>
  <r>
    <n v="206149654"/>
    <x v="194"/>
    <x v="0"/>
    <x v="0"/>
    <n v="39"/>
    <s v="month"/>
    <x v="0"/>
    <x v="1"/>
    <x v="1"/>
  </r>
  <r>
    <n v="206653056"/>
    <x v="194"/>
    <x v="0"/>
    <x v="0"/>
    <n v="39"/>
    <s v="month"/>
    <x v="0"/>
    <x v="1"/>
    <x v="1"/>
  </r>
  <r>
    <n v="198466025"/>
    <x v="194"/>
    <x v="0"/>
    <x v="0"/>
    <n v="39"/>
    <s v="month"/>
    <x v="0"/>
    <x v="1"/>
    <x v="1"/>
  </r>
  <r>
    <n v="206685935"/>
    <x v="194"/>
    <x v="259"/>
    <x v="1"/>
    <n v="39"/>
    <s v="month"/>
    <x v="1"/>
    <x v="1"/>
    <x v="1"/>
  </r>
  <r>
    <n v="206659390"/>
    <x v="194"/>
    <x v="259"/>
    <x v="1"/>
    <n v="39"/>
    <s v="month"/>
    <x v="1"/>
    <x v="1"/>
    <x v="1"/>
  </r>
  <r>
    <n v="206550926"/>
    <x v="194"/>
    <x v="299"/>
    <x v="0"/>
    <n v="39"/>
    <s v="month"/>
    <x v="28"/>
    <x v="1"/>
    <x v="1"/>
  </r>
  <r>
    <n v="206673590"/>
    <x v="194"/>
    <x v="292"/>
    <x v="0"/>
    <n v="39"/>
    <s v="month"/>
    <x v="214"/>
    <x v="1"/>
    <x v="1"/>
  </r>
  <r>
    <n v="205593462"/>
    <x v="194"/>
    <x v="195"/>
    <x v="0"/>
    <n v="39"/>
    <s v="month"/>
    <x v="219"/>
    <x v="1"/>
    <x v="1"/>
  </r>
  <r>
    <n v="205889926"/>
    <x v="195"/>
    <x v="0"/>
    <x v="0"/>
    <n v="39"/>
    <s v="month"/>
    <x v="0"/>
    <x v="2"/>
    <x v="1"/>
  </r>
  <r>
    <n v="151713121"/>
    <x v="195"/>
    <x v="0"/>
    <x v="0"/>
    <n v="39"/>
    <s v="month"/>
    <x v="0"/>
    <x v="2"/>
    <x v="1"/>
  </r>
  <r>
    <n v="206759898"/>
    <x v="195"/>
    <x v="277"/>
    <x v="1"/>
    <n v="39"/>
    <s v="month"/>
    <x v="1"/>
    <x v="2"/>
    <x v="1"/>
  </r>
  <r>
    <n v="206750792"/>
    <x v="195"/>
    <x v="277"/>
    <x v="1"/>
    <n v="39"/>
    <s v="month"/>
    <x v="1"/>
    <x v="2"/>
    <x v="1"/>
  </r>
  <r>
    <n v="206742592"/>
    <x v="195"/>
    <x v="277"/>
    <x v="1"/>
    <n v="39"/>
    <s v="month"/>
    <x v="1"/>
    <x v="2"/>
    <x v="1"/>
  </r>
  <r>
    <n v="206700008"/>
    <x v="195"/>
    <x v="277"/>
    <x v="1"/>
    <n v="39"/>
    <s v="month"/>
    <x v="1"/>
    <x v="2"/>
    <x v="1"/>
  </r>
  <r>
    <n v="156170916"/>
    <x v="195"/>
    <x v="332"/>
    <x v="0"/>
    <n v="39"/>
    <s v="month"/>
    <x v="128"/>
    <x v="2"/>
    <x v="1"/>
  </r>
  <r>
    <n v="206607664"/>
    <x v="195"/>
    <x v="152"/>
    <x v="0"/>
    <n v="39"/>
    <s v="month"/>
    <x v="87"/>
    <x v="2"/>
    <x v="1"/>
  </r>
  <r>
    <n v="183332399"/>
    <x v="196"/>
    <x v="0"/>
    <x v="0"/>
    <n v="39"/>
    <s v="month"/>
    <x v="0"/>
    <x v="3"/>
    <x v="1"/>
  </r>
  <r>
    <n v="176705210"/>
    <x v="196"/>
    <x v="253"/>
    <x v="0"/>
    <n v="39"/>
    <s v="month"/>
    <x v="1"/>
    <x v="3"/>
    <x v="1"/>
  </r>
  <r>
    <n v="154901722"/>
    <x v="196"/>
    <x v="277"/>
    <x v="0"/>
    <n v="39"/>
    <s v="month"/>
    <x v="11"/>
    <x v="3"/>
    <x v="1"/>
  </r>
  <r>
    <n v="153438676"/>
    <x v="196"/>
    <x v="324"/>
    <x v="0"/>
    <n v="39"/>
    <s v="month"/>
    <x v="39"/>
    <x v="3"/>
    <x v="1"/>
  </r>
  <r>
    <n v="154901722"/>
    <x v="196"/>
    <x v="243"/>
    <x v="0"/>
    <n v="39"/>
    <s v="month"/>
    <x v="192"/>
    <x v="3"/>
    <x v="1"/>
  </r>
  <r>
    <n v="123768696"/>
    <x v="196"/>
    <x v="246"/>
    <x v="0"/>
    <n v="39"/>
    <s v="month"/>
    <x v="182"/>
    <x v="3"/>
    <x v="1"/>
  </r>
  <r>
    <n v="142976081"/>
    <x v="196"/>
    <x v="185"/>
    <x v="0"/>
    <n v="39"/>
    <s v="month"/>
    <x v="28"/>
    <x v="3"/>
    <x v="1"/>
  </r>
  <r>
    <n v="152223051"/>
    <x v="197"/>
    <x v="0"/>
    <x v="0"/>
    <n v="39"/>
    <s v="month"/>
    <x v="0"/>
    <x v="4"/>
    <x v="1"/>
  </r>
  <r>
    <n v="206865174"/>
    <x v="197"/>
    <x v="0"/>
    <x v="0"/>
    <n v="39"/>
    <s v="month"/>
    <x v="0"/>
    <x v="4"/>
    <x v="1"/>
  </r>
  <r>
    <n v="143327052"/>
    <x v="197"/>
    <x v="0"/>
    <x v="0"/>
    <n v="39"/>
    <s v="month"/>
    <x v="0"/>
    <x v="4"/>
    <x v="1"/>
  </r>
  <r>
    <n v="202270426"/>
    <x v="197"/>
    <x v="233"/>
    <x v="0"/>
    <n v="39"/>
    <s v="month"/>
    <x v="1"/>
    <x v="4"/>
    <x v="1"/>
  </r>
  <r>
    <n v="185602413"/>
    <x v="197"/>
    <x v="293"/>
    <x v="0"/>
    <n v="39"/>
    <s v="month"/>
    <x v="106"/>
    <x v="4"/>
    <x v="1"/>
  </r>
  <r>
    <n v="206679618"/>
    <x v="197"/>
    <x v="251"/>
    <x v="0"/>
    <n v="39"/>
    <s v="month"/>
    <x v="190"/>
    <x v="4"/>
    <x v="1"/>
  </r>
  <r>
    <n v="127561439"/>
    <x v="197"/>
    <x v="185"/>
    <x v="0"/>
    <n v="39"/>
    <s v="month"/>
    <x v="35"/>
    <x v="4"/>
    <x v="1"/>
  </r>
  <r>
    <n v="176705210"/>
    <x v="197"/>
    <x v="253"/>
    <x v="0"/>
    <n v="39"/>
    <s v="month"/>
    <x v="11"/>
    <x v="4"/>
    <x v="1"/>
  </r>
  <r>
    <n v="206693452"/>
    <x v="198"/>
    <x v="0"/>
    <x v="0"/>
    <n v="39"/>
    <s v="month"/>
    <x v="0"/>
    <x v="5"/>
    <x v="1"/>
  </r>
  <r>
    <n v="193499084"/>
    <x v="198"/>
    <x v="0"/>
    <x v="0"/>
    <n v="39"/>
    <s v="month"/>
    <x v="0"/>
    <x v="5"/>
    <x v="1"/>
  </r>
  <r>
    <n v="206995576"/>
    <x v="198"/>
    <x v="333"/>
    <x v="0"/>
    <n v="39"/>
    <s v="month"/>
    <x v="52"/>
    <x v="5"/>
    <x v="1"/>
  </r>
  <r>
    <n v="154783053"/>
    <x v="198"/>
    <x v="243"/>
    <x v="0"/>
    <n v="39"/>
    <s v="month"/>
    <x v="34"/>
    <x v="5"/>
    <x v="1"/>
  </r>
  <r>
    <n v="158349405"/>
    <x v="198"/>
    <x v="55"/>
    <x v="0"/>
    <n v="39"/>
    <s v="month"/>
    <x v="141"/>
    <x v="5"/>
    <x v="1"/>
  </r>
  <r>
    <n v="205554002"/>
    <x v="198"/>
    <x v="334"/>
    <x v="0"/>
    <n v="39"/>
    <s v="month"/>
    <x v="232"/>
    <x v="5"/>
    <x v="1"/>
  </r>
  <r>
    <n v="207045565"/>
    <x v="199"/>
    <x v="0"/>
    <x v="0"/>
    <n v="39"/>
    <s v="month"/>
    <x v="0"/>
    <x v="6"/>
    <x v="1"/>
  </r>
  <r>
    <n v="205483607"/>
    <x v="199"/>
    <x v="0"/>
    <x v="0"/>
    <n v="39"/>
    <s v="month"/>
    <x v="0"/>
    <x v="6"/>
    <x v="1"/>
  </r>
  <r>
    <n v="147662374"/>
    <x v="199"/>
    <x v="0"/>
    <x v="0"/>
    <n v="39"/>
    <s v="month"/>
    <x v="0"/>
    <x v="6"/>
    <x v="1"/>
  </r>
  <r>
    <n v="150652956"/>
    <x v="199"/>
    <x v="246"/>
    <x v="0"/>
    <n v="39"/>
    <s v="month"/>
    <x v="40"/>
    <x v="6"/>
    <x v="1"/>
  </r>
  <r>
    <n v="206527656"/>
    <x v="199"/>
    <x v="308"/>
    <x v="0"/>
    <n v="39"/>
    <s v="month"/>
    <x v="234"/>
    <x v="6"/>
    <x v="1"/>
  </r>
  <r>
    <n v="207041353"/>
    <x v="199"/>
    <x v="171"/>
    <x v="0"/>
    <n v="39"/>
    <s v="month"/>
    <x v="27"/>
    <x v="6"/>
    <x v="1"/>
  </r>
  <r>
    <n v="204448911"/>
    <x v="199"/>
    <x v="141"/>
    <x v="0"/>
    <n v="39"/>
    <s v="month"/>
    <x v="35"/>
    <x v="6"/>
    <x v="1"/>
  </r>
  <r>
    <n v="206951785"/>
    <x v="199"/>
    <x v="289"/>
    <x v="0"/>
    <n v="39"/>
    <s v="month"/>
    <x v="72"/>
    <x v="6"/>
    <x v="1"/>
  </r>
  <r>
    <n v="206892555"/>
    <x v="199"/>
    <x v="272"/>
    <x v="0"/>
    <n v="39"/>
    <s v="month"/>
    <x v="208"/>
    <x v="6"/>
    <x v="1"/>
  </r>
  <r>
    <n v="207051401"/>
    <x v="200"/>
    <x v="0"/>
    <x v="0"/>
    <n v="39"/>
    <s v="month"/>
    <x v="0"/>
    <x v="0"/>
    <x v="1"/>
  </r>
  <r>
    <n v="206904848"/>
    <x v="200"/>
    <x v="0"/>
    <x v="0"/>
    <n v="39"/>
    <s v="month"/>
    <x v="0"/>
    <x v="0"/>
    <x v="1"/>
  </r>
  <r>
    <n v="204598188"/>
    <x v="200"/>
    <x v="335"/>
    <x v="0"/>
    <n v="39"/>
    <s v="month"/>
    <x v="206"/>
    <x v="0"/>
    <x v="1"/>
  </r>
  <r>
    <n v="206447228"/>
    <x v="200"/>
    <x v="324"/>
    <x v="0"/>
    <n v="39"/>
    <s v="month"/>
    <x v="70"/>
    <x v="0"/>
    <x v="1"/>
  </r>
  <r>
    <n v="206190599"/>
    <x v="200"/>
    <x v="322"/>
    <x v="0"/>
    <n v="39"/>
    <s v="month"/>
    <x v="78"/>
    <x v="0"/>
    <x v="1"/>
  </r>
  <r>
    <n v="207014740"/>
    <x v="200"/>
    <x v="114"/>
    <x v="0"/>
    <n v="39"/>
    <s v="month"/>
    <x v="134"/>
    <x v="0"/>
    <x v="1"/>
  </r>
  <r>
    <n v="156762690"/>
    <x v="200"/>
    <x v="141"/>
    <x v="0"/>
    <n v="39"/>
    <s v="month"/>
    <x v="72"/>
    <x v="0"/>
    <x v="1"/>
  </r>
  <r>
    <n v="207116463"/>
    <x v="200"/>
    <x v="141"/>
    <x v="0"/>
    <n v="39"/>
    <s v="month"/>
    <x v="72"/>
    <x v="0"/>
    <x v="1"/>
  </r>
  <r>
    <n v="206555111"/>
    <x v="200"/>
    <x v="299"/>
    <x v="0"/>
    <n v="39"/>
    <s v="month"/>
    <x v="9"/>
    <x v="0"/>
    <x v="1"/>
  </r>
  <r>
    <n v="169543155"/>
    <x v="200"/>
    <x v="300"/>
    <x v="0"/>
    <n v="39"/>
    <s v="month"/>
    <x v="87"/>
    <x v="0"/>
    <x v="1"/>
  </r>
  <r>
    <n v="202270426"/>
    <x v="200"/>
    <x v="300"/>
    <x v="0"/>
    <n v="39"/>
    <s v="month"/>
    <x v="87"/>
    <x v="0"/>
    <x v="1"/>
  </r>
  <r>
    <n v="207005361"/>
    <x v="200"/>
    <x v="279"/>
    <x v="0"/>
    <n v="39"/>
    <s v="month"/>
    <x v="212"/>
    <x v="0"/>
    <x v="1"/>
  </r>
  <r>
    <n v="206105763"/>
    <x v="201"/>
    <x v="0"/>
    <x v="0"/>
    <n v="39"/>
    <s v="month"/>
    <x v="0"/>
    <x v="1"/>
    <x v="1"/>
  </r>
  <r>
    <n v="198968224"/>
    <x v="201"/>
    <x v="0"/>
    <x v="0"/>
    <n v="39"/>
    <s v="month"/>
    <x v="0"/>
    <x v="1"/>
    <x v="1"/>
  </r>
  <r>
    <n v="205342230"/>
    <x v="201"/>
    <x v="0"/>
    <x v="0"/>
    <n v="39"/>
    <s v="month"/>
    <x v="0"/>
    <x v="1"/>
    <x v="1"/>
  </r>
  <r>
    <n v="207224044"/>
    <x v="201"/>
    <x v="0"/>
    <x v="0"/>
    <n v="39"/>
    <s v="month"/>
    <x v="0"/>
    <x v="1"/>
    <x v="1"/>
  </r>
  <r>
    <n v="174232231"/>
    <x v="201"/>
    <x v="0"/>
    <x v="0"/>
    <n v="39"/>
    <s v="month"/>
    <x v="0"/>
    <x v="1"/>
    <x v="1"/>
  </r>
  <r>
    <n v="207017124"/>
    <x v="201"/>
    <x v="272"/>
    <x v="1"/>
    <n v="39"/>
    <s v="month"/>
    <x v="11"/>
    <x v="1"/>
    <x v="1"/>
  </r>
  <r>
    <n v="194006146"/>
    <x v="201"/>
    <x v="291"/>
    <x v="0"/>
    <n v="39"/>
    <s v="month"/>
    <x v="46"/>
    <x v="1"/>
    <x v="1"/>
  </r>
  <r>
    <n v="150509580"/>
    <x v="201"/>
    <x v="270"/>
    <x v="0"/>
    <n v="39"/>
    <s v="month"/>
    <x v="148"/>
    <x v="1"/>
    <x v="1"/>
  </r>
  <r>
    <n v="207120479"/>
    <x v="201"/>
    <x v="159"/>
    <x v="0"/>
    <n v="39"/>
    <s v="month"/>
    <x v="210"/>
    <x v="1"/>
    <x v="1"/>
  </r>
  <r>
    <n v="162069198"/>
    <x v="201"/>
    <x v="275"/>
    <x v="0"/>
    <n v="39"/>
    <s v="month"/>
    <x v="35"/>
    <x v="1"/>
    <x v="1"/>
  </r>
  <r>
    <n v="206742272"/>
    <x v="201"/>
    <x v="336"/>
    <x v="0"/>
    <n v="39"/>
    <s v="month"/>
    <x v="167"/>
    <x v="1"/>
    <x v="1"/>
  </r>
  <r>
    <n v="207433836"/>
    <x v="202"/>
    <x v="0"/>
    <x v="0"/>
    <n v="39"/>
    <s v="month"/>
    <x v="0"/>
    <x v="2"/>
    <x v="1"/>
  </r>
  <r>
    <n v="207382183"/>
    <x v="202"/>
    <x v="0"/>
    <x v="0"/>
    <n v="39"/>
    <s v="month"/>
    <x v="0"/>
    <x v="2"/>
    <x v="1"/>
  </r>
  <r>
    <n v="205051942"/>
    <x v="202"/>
    <x v="0"/>
    <x v="0"/>
    <n v="39"/>
    <s v="month"/>
    <x v="0"/>
    <x v="2"/>
    <x v="1"/>
  </r>
  <r>
    <n v="132631414"/>
    <x v="202"/>
    <x v="135"/>
    <x v="0"/>
    <n v="39"/>
    <s v="month"/>
    <x v="106"/>
    <x v="2"/>
    <x v="1"/>
  </r>
  <r>
    <n v="207529664"/>
    <x v="202"/>
    <x v="189"/>
    <x v="0"/>
    <n v="39"/>
    <s v="month"/>
    <x v="230"/>
    <x v="2"/>
    <x v="1"/>
  </r>
  <r>
    <n v="207022940"/>
    <x v="202"/>
    <x v="337"/>
    <x v="0"/>
    <n v="39"/>
    <s v="month"/>
    <x v="133"/>
    <x v="2"/>
    <x v="1"/>
  </r>
  <r>
    <n v="207388337"/>
    <x v="202"/>
    <x v="204"/>
    <x v="0"/>
    <n v="39"/>
    <s v="month"/>
    <x v="235"/>
    <x v="2"/>
    <x v="1"/>
  </r>
  <r>
    <n v="205883858"/>
    <x v="203"/>
    <x v="0"/>
    <x v="0"/>
    <n v="39"/>
    <s v="month"/>
    <x v="0"/>
    <x v="3"/>
    <x v="1"/>
  </r>
  <r>
    <n v="173711359"/>
    <x v="203"/>
    <x v="157"/>
    <x v="0"/>
    <n v="39"/>
    <s v="month"/>
    <x v="83"/>
    <x v="3"/>
    <x v="1"/>
  </r>
  <r>
    <n v="207078726"/>
    <x v="203"/>
    <x v="232"/>
    <x v="0"/>
    <n v="39"/>
    <s v="month"/>
    <x v="132"/>
    <x v="3"/>
    <x v="1"/>
  </r>
  <r>
    <n v="207415911"/>
    <x v="203"/>
    <x v="285"/>
    <x v="0"/>
    <n v="39"/>
    <s v="month"/>
    <x v="177"/>
    <x v="3"/>
    <x v="1"/>
  </r>
  <r>
    <n v="207391012"/>
    <x v="203"/>
    <x v="128"/>
    <x v="0"/>
    <n v="39"/>
    <s v="month"/>
    <x v="125"/>
    <x v="3"/>
    <x v="1"/>
  </r>
  <r>
    <n v="207699946"/>
    <x v="203"/>
    <x v="266"/>
    <x v="0"/>
    <n v="39"/>
    <s v="month"/>
    <x v="72"/>
    <x v="3"/>
    <x v="1"/>
  </r>
  <r>
    <n v="207665488"/>
    <x v="203"/>
    <x v="208"/>
    <x v="0"/>
    <n v="39"/>
    <s v="month"/>
    <x v="11"/>
    <x v="3"/>
    <x v="1"/>
  </r>
  <r>
    <n v="207742153"/>
    <x v="203"/>
    <x v="160"/>
    <x v="0"/>
    <n v="39"/>
    <s v="month"/>
    <x v="236"/>
    <x v="3"/>
    <x v="1"/>
  </r>
  <r>
    <n v="207288677"/>
    <x v="204"/>
    <x v="0"/>
    <x v="0"/>
    <n v="39"/>
    <s v="month"/>
    <x v="0"/>
    <x v="4"/>
    <x v="1"/>
  </r>
  <r>
    <n v="208151007"/>
    <x v="204"/>
    <x v="0"/>
    <x v="0"/>
    <n v="39"/>
    <s v="month"/>
    <x v="0"/>
    <x v="4"/>
    <x v="1"/>
  </r>
  <r>
    <n v="207218336"/>
    <x v="204"/>
    <x v="0"/>
    <x v="0"/>
    <n v="39"/>
    <s v="month"/>
    <x v="0"/>
    <x v="4"/>
    <x v="1"/>
  </r>
  <r>
    <n v="208105889"/>
    <x v="204"/>
    <x v="0"/>
    <x v="0"/>
    <n v="39"/>
    <s v="month"/>
    <x v="0"/>
    <x v="4"/>
    <x v="1"/>
  </r>
  <r>
    <n v="152221925"/>
    <x v="204"/>
    <x v="338"/>
    <x v="0"/>
    <n v="39"/>
    <s v="month"/>
    <x v="46"/>
    <x v="4"/>
    <x v="1"/>
  </r>
  <r>
    <n v="207090754"/>
    <x v="204"/>
    <x v="73"/>
    <x v="0"/>
    <n v="39"/>
    <s v="month"/>
    <x v="177"/>
    <x v="4"/>
    <x v="1"/>
  </r>
  <r>
    <n v="128283235"/>
    <x v="204"/>
    <x v="282"/>
    <x v="0"/>
    <n v="39"/>
    <s v="month"/>
    <x v="131"/>
    <x v="4"/>
    <x v="1"/>
  </r>
  <r>
    <n v="206686106"/>
    <x v="204"/>
    <x v="243"/>
    <x v="0"/>
    <n v="39"/>
    <s v="month"/>
    <x v="87"/>
    <x v="4"/>
    <x v="1"/>
  </r>
  <r>
    <n v="208090380"/>
    <x v="204"/>
    <x v="17"/>
    <x v="0"/>
    <n v="39"/>
    <s v="month"/>
    <x v="10"/>
    <x v="4"/>
    <x v="1"/>
  </r>
  <r>
    <n v="153281230"/>
    <x v="204"/>
    <x v="299"/>
    <x v="0"/>
    <n v="39"/>
    <s v="month"/>
    <x v="86"/>
    <x v="4"/>
    <x v="1"/>
  </r>
  <r>
    <n v="205049710"/>
    <x v="204"/>
    <x v="125"/>
    <x v="0"/>
    <n v="39"/>
    <s v="month"/>
    <x v="1"/>
    <x v="4"/>
    <x v="1"/>
  </r>
  <r>
    <n v="208618235"/>
    <x v="205"/>
    <x v="0"/>
    <x v="0"/>
    <n v="39"/>
    <s v="month"/>
    <x v="0"/>
    <x v="5"/>
    <x v="1"/>
  </r>
  <r>
    <n v="167713351"/>
    <x v="205"/>
    <x v="0"/>
    <x v="0"/>
    <n v="39"/>
    <s v="month"/>
    <x v="0"/>
    <x v="5"/>
    <x v="1"/>
  </r>
  <r>
    <n v="149975492"/>
    <x v="205"/>
    <x v="0"/>
    <x v="0"/>
    <n v="39"/>
    <s v="month"/>
    <x v="0"/>
    <x v="5"/>
    <x v="1"/>
  </r>
  <r>
    <n v="208286745"/>
    <x v="205"/>
    <x v="0"/>
    <x v="0"/>
    <n v="39"/>
    <s v="month"/>
    <x v="0"/>
    <x v="5"/>
    <x v="1"/>
  </r>
  <r>
    <n v="208473540"/>
    <x v="205"/>
    <x v="125"/>
    <x v="0"/>
    <n v="39"/>
    <s v="month"/>
    <x v="11"/>
    <x v="5"/>
    <x v="1"/>
  </r>
  <r>
    <n v="137721176"/>
    <x v="205"/>
    <x v="296"/>
    <x v="0"/>
    <n v="39"/>
    <s v="month"/>
    <x v="136"/>
    <x v="5"/>
    <x v="1"/>
  </r>
  <r>
    <n v="140062581"/>
    <x v="205"/>
    <x v="174"/>
    <x v="0"/>
    <n v="39"/>
    <s v="month"/>
    <x v="192"/>
    <x v="5"/>
    <x v="1"/>
  </r>
  <r>
    <n v="208488674"/>
    <x v="205"/>
    <x v="73"/>
    <x v="0"/>
    <n v="39"/>
    <s v="month"/>
    <x v="197"/>
    <x v="5"/>
    <x v="1"/>
  </r>
  <r>
    <n v="162752410"/>
    <x v="205"/>
    <x v="339"/>
    <x v="0"/>
    <n v="39"/>
    <s v="month"/>
    <x v="153"/>
    <x v="5"/>
    <x v="1"/>
  </r>
  <r>
    <n v="208598415"/>
    <x v="205"/>
    <x v="284"/>
    <x v="0"/>
    <n v="39"/>
    <s v="month"/>
    <x v="108"/>
    <x v="5"/>
    <x v="1"/>
  </r>
  <r>
    <n v="143427096"/>
    <x v="205"/>
    <x v="251"/>
    <x v="0"/>
    <n v="39"/>
    <s v="month"/>
    <x v="36"/>
    <x v="5"/>
    <x v="1"/>
  </r>
  <r>
    <n v="208480650"/>
    <x v="205"/>
    <x v="122"/>
    <x v="0"/>
    <n v="39"/>
    <s v="month"/>
    <x v="118"/>
    <x v="5"/>
    <x v="1"/>
  </r>
  <r>
    <n v="147000442"/>
    <x v="206"/>
    <x v="0"/>
    <x v="0"/>
    <n v="39"/>
    <s v="month"/>
    <x v="0"/>
    <x v="6"/>
    <x v="1"/>
  </r>
  <r>
    <n v="207062508"/>
    <x v="206"/>
    <x v="0"/>
    <x v="0"/>
    <n v="39"/>
    <s v="month"/>
    <x v="0"/>
    <x v="6"/>
    <x v="1"/>
  </r>
  <r>
    <n v="206862916"/>
    <x v="206"/>
    <x v="0"/>
    <x v="0"/>
    <n v="39"/>
    <s v="month"/>
    <x v="0"/>
    <x v="6"/>
    <x v="1"/>
  </r>
  <r>
    <n v="208706866"/>
    <x v="206"/>
    <x v="0"/>
    <x v="0"/>
    <n v="39"/>
    <s v="month"/>
    <x v="0"/>
    <x v="6"/>
    <x v="1"/>
  </r>
  <r>
    <n v="134719816"/>
    <x v="206"/>
    <x v="180"/>
    <x v="0"/>
    <n v="39"/>
    <s v="month"/>
    <x v="18"/>
    <x v="6"/>
    <x v="1"/>
  </r>
  <r>
    <n v="138548670"/>
    <x v="206"/>
    <x v="159"/>
    <x v="0"/>
    <n v="39"/>
    <s v="month"/>
    <x v="169"/>
    <x v="6"/>
    <x v="1"/>
  </r>
  <r>
    <n v="208745476"/>
    <x v="206"/>
    <x v="173"/>
    <x v="0"/>
    <n v="39"/>
    <s v="month"/>
    <x v="46"/>
    <x v="6"/>
    <x v="1"/>
  </r>
  <r>
    <n v="182584521"/>
    <x v="206"/>
    <x v="274"/>
    <x v="0"/>
    <n v="39"/>
    <s v="month"/>
    <x v="87"/>
    <x v="6"/>
    <x v="1"/>
  </r>
  <r>
    <n v="206463427"/>
    <x v="206"/>
    <x v="243"/>
    <x v="0"/>
    <n v="39"/>
    <s v="month"/>
    <x v="108"/>
    <x v="6"/>
    <x v="1"/>
  </r>
  <r>
    <n v="158947936"/>
    <x v="206"/>
    <x v="336"/>
    <x v="0"/>
    <n v="39"/>
    <s v="month"/>
    <x v="35"/>
    <x v="6"/>
    <x v="1"/>
  </r>
  <r>
    <n v="182737296"/>
    <x v="206"/>
    <x v="263"/>
    <x v="0"/>
    <n v="39"/>
    <s v="month"/>
    <x v="28"/>
    <x v="6"/>
    <x v="1"/>
  </r>
  <r>
    <n v="156550538"/>
    <x v="207"/>
    <x v="0"/>
    <x v="0"/>
    <n v="39"/>
    <s v="month"/>
    <x v="0"/>
    <x v="0"/>
    <x v="1"/>
  </r>
  <r>
    <n v="208897557"/>
    <x v="207"/>
    <x v="0"/>
    <x v="0"/>
    <n v="39"/>
    <s v="month"/>
    <x v="0"/>
    <x v="0"/>
    <x v="1"/>
  </r>
  <r>
    <n v="157484010"/>
    <x v="207"/>
    <x v="0"/>
    <x v="0"/>
    <n v="39"/>
    <s v="month"/>
    <x v="0"/>
    <x v="0"/>
    <x v="1"/>
  </r>
  <r>
    <n v="146450388"/>
    <x v="207"/>
    <x v="268"/>
    <x v="0"/>
    <n v="39"/>
    <s v="month"/>
    <x v="39"/>
    <x v="0"/>
    <x v="1"/>
  </r>
  <r>
    <n v="208610366"/>
    <x v="207"/>
    <x v="160"/>
    <x v="0"/>
    <n v="39"/>
    <s v="month"/>
    <x v="106"/>
    <x v="0"/>
    <x v="1"/>
  </r>
  <r>
    <n v="208913022"/>
    <x v="207"/>
    <x v="171"/>
    <x v="0"/>
    <n v="39"/>
    <s v="month"/>
    <x v="43"/>
    <x v="0"/>
    <x v="1"/>
  </r>
  <r>
    <n v="205813846"/>
    <x v="207"/>
    <x v="171"/>
    <x v="0"/>
    <n v="39"/>
    <s v="month"/>
    <x v="43"/>
    <x v="0"/>
    <x v="1"/>
  </r>
  <r>
    <n v="208762353"/>
    <x v="207"/>
    <x v="141"/>
    <x v="0"/>
    <n v="39"/>
    <s v="month"/>
    <x v="2"/>
    <x v="0"/>
    <x v="1"/>
  </r>
  <r>
    <n v="153099249"/>
    <x v="207"/>
    <x v="257"/>
    <x v="0"/>
    <n v="39"/>
    <s v="month"/>
    <x v="10"/>
    <x v="0"/>
    <x v="1"/>
  </r>
  <r>
    <n v="208734252"/>
    <x v="207"/>
    <x v="300"/>
    <x v="0"/>
    <n v="39"/>
    <s v="month"/>
    <x v="28"/>
    <x v="0"/>
    <x v="1"/>
  </r>
  <r>
    <n v="208320510"/>
    <x v="208"/>
    <x v="0"/>
    <x v="0"/>
    <n v="39"/>
    <s v="month"/>
    <x v="0"/>
    <x v="1"/>
    <x v="1"/>
  </r>
  <r>
    <n v="207229509"/>
    <x v="208"/>
    <x v="189"/>
    <x v="1"/>
    <n v="39"/>
    <s v="month"/>
    <x v="11"/>
    <x v="1"/>
    <x v="1"/>
  </r>
  <r>
    <n v="208492287"/>
    <x v="208"/>
    <x v="298"/>
    <x v="0"/>
    <n v="39"/>
    <s v="month"/>
    <x v="39"/>
    <x v="1"/>
    <x v="1"/>
  </r>
  <r>
    <n v="195047202"/>
    <x v="208"/>
    <x v="309"/>
    <x v="0"/>
    <n v="39"/>
    <s v="month"/>
    <x v="95"/>
    <x v="1"/>
    <x v="1"/>
  </r>
  <r>
    <n v="208890352"/>
    <x v="208"/>
    <x v="324"/>
    <x v="0"/>
    <n v="39"/>
    <s v="month"/>
    <x v="109"/>
    <x v="1"/>
    <x v="1"/>
  </r>
  <r>
    <n v="151282537"/>
    <x v="208"/>
    <x v="340"/>
    <x v="0"/>
    <n v="39"/>
    <s v="month"/>
    <x v="77"/>
    <x v="1"/>
    <x v="1"/>
  </r>
  <r>
    <n v="206625246"/>
    <x v="209"/>
    <x v="0"/>
    <x v="0"/>
    <n v="39"/>
    <s v="month"/>
    <x v="0"/>
    <x v="2"/>
    <x v="1"/>
  </r>
  <r>
    <n v="208748964"/>
    <x v="209"/>
    <x v="0"/>
    <x v="0"/>
    <n v="39"/>
    <s v="month"/>
    <x v="0"/>
    <x v="2"/>
    <x v="1"/>
  </r>
  <r>
    <n v="151904783"/>
    <x v="209"/>
    <x v="0"/>
    <x v="0"/>
    <n v="39"/>
    <s v="month"/>
    <x v="0"/>
    <x v="2"/>
    <x v="1"/>
  </r>
  <r>
    <n v="160351988"/>
    <x v="209"/>
    <x v="341"/>
    <x v="0"/>
    <n v="39"/>
    <s v="month"/>
    <x v="12"/>
    <x v="2"/>
    <x v="1"/>
  </r>
  <r>
    <n v="145622106"/>
    <x v="209"/>
    <x v="16"/>
    <x v="0"/>
    <n v="39"/>
    <s v="month"/>
    <x v="11"/>
    <x v="2"/>
    <x v="1"/>
  </r>
  <r>
    <n v="192475408"/>
    <x v="209"/>
    <x v="287"/>
    <x v="0"/>
    <n v="39"/>
    <s v="month"/>
    <x v="9"/>
    <x v="2"/>
    <x v="1"/>
  </r>
  <r>
    <n v="208597905"/>
    <x v="210"/>
    <x v="0"/>
    <x v="0"/>
    <n v="39"/>
    <s v="month"/>
    <x v="0"/>
    <x v="3"/>
    <x v="1"/>
  </r>
  <r>
    <n v="209469556"/>
    <x v="210"/>
    <x v="145"/>
    <x v="1"/>
    <n v="39"/>
    <s v="month"/>
    <x v="1"/>
    <x v="3"/>
    <x v="1"/>
  </r>
  <r>
    <n v="207183892"/>
    <x v="210"/>
    <x v="145"/>
    <x v="1"/>
    <n v="39"/>
    <s v="month"/>
    <x v="1"/>
    <x v="3"/>
    <x v="1"/>
  </r>
  <r>
    <n v="125980506"/>
    <x v="210"/>
    <x v="135"/>
    <x v="0"/>
    <n v="39"/>
    <s v="month"/>
    <x v="53"/>
    <x v="3"/>
    <x v="1"/>
  </r>
  <r>
    <n v="162635107"/>
    <x v="210"/>
    <x v="209"/>
    <x v="0"/>
    <n v="39"/>
    <s v="month"/>
    <x v="166"/>
    <x v="3"/>
    <x v="1"/>
  </r>
  <r>
    <n v="154655775"/>
    <x v="210"/>
    <x v="329"/>
    <x v="0"/>
    <n v="39"/>
    <s v="month"/>
    <x v="91"/>
    <x v="3"/>
    <x v="1"/>
  </r>
  <r>
    <n v="154911229"/>
    <x v="211"/>
    <x v="0"/>
    <x v="0"/>
    <n v="39"/>
    <s v="month"/>
    <x v="0"/>
    <x v="4"/>
    <x v="1"/>
  </r>
  <r>
    <n v="206812076"/>
    <x v="211"/>
    <x v="0"/>
    <x v="0"/>
    <n v="39"/>
    <s v="month"/>
    <x v="0"/>
    <x v="4"/>
    <x v="1"/>
  </r>
  <r>
    <n v="208490747"/>
    <x v="211"/>
    <x v="0"/>
    <x v="0"/>
    <n v="39"/>
    <s v="month"/>
    <x v="0"/>
    <x v="4"/>
    <x v="1"/>
  </r>
  <r>
    <n v="131761056"/>
    <x v="211"/>
    <x v="0"/>
    <x v="0"/>
    <n v="39"/>
    <s v="month"/>
    <x v="0"/>
    <x v="4"/>
    <x v="1"/>
  </r>
  <r>
    <n v="208115534"/>
    <x v="211"/>
    <x v="15"/>
    <x v="1"/>
    <n v="39"/>
    <s v="month"/>
    <x v="14"/>
    <x v="4"/>
    <x v="1"/>
  </r>
  <r>
    <n v="202126471"/>
    <x v="211"/>
    <x v="293"/>
    <x v="0"/>
    <n v="39"/>
    <s v="month"/>
    <x v="93"/>
    <x v="4"/>
    <x v="1"/>
  </r>
  <r>
    <n v="209738836"/>
    <x v="211"/>
    <x v="342"/>
    <x v="0"/>
    <n v="39"/>
    <s v="month"/>
    <x v="80"/>
    <x v="4"/>
    <x v="1"/>
  </r>
  <r>
    <n v="209470128"/>
    <x v="211"/>
    <x v="159"/>
    <x v="0"/>
    <n v="39"/>
    <s v="month"/>
    <x v="110"/>
    <x v="4"/>
    <x v="1"/>
  </r>
  <r>
    <n v="209745334"/>
    <x v="211"/>
    <x v="318"/>
    <x v="0"/>
    <n v="39"/>
    <s v="month"/>
    <x v="172"/>
    <x v="4"/>
    <x v="1"/>
  </r>
  <r>
    <n v="209751690"/>
    <x v="212"/>
    <x v="0"/>
    <x v="0"/>
    <n v="39"/>
    <s v="month"/>
    <x v="0"/>
    <x v="5"/>
    <x v="1"/>
  </r>
  <r>
    <n v="209730490"/>
    <x v="212"/>
    <x v="22"/>
    <x v="1"/>
    <n v="39"/>
    <s v="month"/>
    <x v="1"/>
    <x v="5"/>
    <x v="1"/>
  </r>
  <r>
    <n v="208115648"/>
    <x v="212"/>
    <x v="304"/>
    <x v="0"/>
    <n v="39"/>
    <s v="month"/>
    <x v="169"/>
    <x v="5"/>
    <x v="1"/>
  </r>
  <r>
    <n v="210087900"/>
    <x v="212"/>
    <x v="4"/>
    <x v="0"/>
    <n v="39"/>
    <s v="month"/>
    <x v="36"/>
    <x v="5"/>
    <x v="1"/>
  </r>
  <r>
    <n v="208890316"/>
    <x v="212"/>
    <x v="330"/>
    <x v="0"/>
    <n v="39"/>
    <s v="month"/>
    <x v="43"/>
    <x v="5"/>
    <x v="1"/>
  </r>
  <r>
    <n v="143706140"/>
    <x v="212"/>
    <x v="114"/>
    <x v="0"/>
    <n v="39"/>
    <s v="month"/>
    <x v="175"/>
    <x v="5"/>
    <x v="1"/>
  </r>
  <r>
    <n v="209950443"/>
    <x v="212"/>
    <x v="122"/>
    <x v="0"/>
    <n v="39"/>
    <s v="month"/>
    <x v="79"/>
    <x v="5"/>
    <x v="1"/>
  </r>
  <r>
    <n v="208892072"/>
    <x v="212"/>
    <x v="152"/>
    <x v="0"/>
    <n v="39"/>
    <s v="month"/>
    <x v="86"/>
    <x v="5"/>
    <x v="1"/>
  </r>
  <r>
    <n v="205767174"/>
    <x v="212"/>
    <x v="328"/>
    <x v="0"/>
    <n v="39"/>
    <s v="month"/>
    <x v="199"/>
    <x v="5"/>
    <x v="1"/>
  </r>
  <r>
    <n v="206676416"/>
    <x v="212"/>
    <x v="316"/>
    <x v="0"/>
    <n v="39"/>
    <s v="month"/>
    <x v="54"/>
    <x v="5"/>
    <x v="1"/>
  </r>
  <r>
    <n v="160676837"/>
    <x v="213"/>
    <x v="0"/>
    <x v="0"/>
    <n v="39"/>
    <s v="month"/>
    <x v="0"/>
    <x v="6"/>
    <x v="1"/>
  </r>
  <r>
    <n v="204274153"/>
    <x v="213"/>
    <x v="0"/>
    <x v="0"/>
    <n v="39"/>
    <s v="month"/>
    <x v="0"/>
    <x v="6"/>
    <x v="1"/>
  </r>
  <r>
    <n v="210327236"/>
    <x v="213"/>
    <x v="128"/>
    <x v="1"/>
    <n v="39"/>
    <s v="month"/>
    <x v="1"/>
    <x v="6"/>
    <x v="1"/>
  </r>
  <r>
    <n v="210326352"/>
    <x v="213"/>
    <x v="22"/>
    <x v="1"/>
    <n v="39"/>
    <s v="month"/>
    <x v="11"/>
    <x v="6"/>
    <x v="1"/>
  </r>
  <r>
    <n v="124155104"/>
    <x v="213"/>
    <x v="82"/>
    <x v="0"/>
    <n v="39"/>
    <s v="month"/>
    <x v="14"/>
    <x v="6"/>
    <x v="1"/>
  </r>
  <r>
    <n v="209517408"/>
    <x v="213"/>
    <x v="243"/>
    <x v="0"/>
    <n v="39"/>
    <s v="month"/>
    <x v="72"/>
    <x v="6"/>
    <x v="1"/>
  </r>
  <r>
    <n v="210432450"/>
    <x v="213"/>
    <x v="327"/>
    <x v="0"/>
    <n v="39"/>
    <s v="month"/>
    <x v="42"/>
    <x v="6"/>
    <x v="1"/>
  </r>
  <r>
    <n v="210138564"/>
    <x v="214"/>
    <x v="0"/>
    <x v="0"/>
    <n v="39"/>
    <s v="month"/>
    <x v="0"/>
    <x v="0"/>
    <x v="1"/>
  </r>
  <r>
    <n v="210617010"/>
    <x v="214"/>
    <x v="128"/>
    <x v="0"/>
    <n v="39"/>
    <s v="month"/>
    <x v="11"/>
    <x v="0"/>
    <x v="1"/>
  </r>
  <r>
    <n v="134894187"/>
    <x v="214"/>
    <x v="317"/>
    <x v="0"/>
    <n v="39"/>
    <s v="month"/>
    <x v="190"/>
    <x v="0"/>
    <x v="1"/>
  </r>
  <r>
    <n v="150643785"/>
    <x v="214"/>
    <x v="268"/>
    <x v="0"/>
    <n v="39"/>
    <s v="month"/>
    <x v="94"/>
    <x v="0"/>
    <x v="1"/>
  </r>
  <r>
    <n v="149986782"/>
    <x v="214"/>
    <x v="343"/>
    <x v="0"/>
    <n v="39"/>
    <s v="month"/>
    <x v="26"/>
    <x v="0"/>
    <x v="1"/>
  </r>
  <r>
    <n v="205463099"/>
    <x v="214"/>
    <x v="291"/>
    <x v="0"/>
    <n v="39"/>
    <s v="month"/>
    <x v="114"/>
    <x v="0"/>
    <x v="1"/>
  </r>
  <r>
    <n v="210565466"/>
    <x v="214"/>
    <x v="174"/>
    <x v="0"/>
    <n v="39"/>
    <s v="month"/>
    <x v="14"/>
    <x v="0"/>
    <x v="1"/>
  </r>
  <r>
    <n v="209072132"/>
    <x v="215"/>
    <x v="0"/>
    <x v="0"/>
    <n v="39"/>
    <s v="month"/>
    <x v="0"/>
    <x v="1"/>
    <x v="1"/>
  </r>
  <r>
    <n v="210388772"/>
    <x v="215"/>
    <x v="0"/>
    <x v="0"/>
    <n v="39"/>
    <s v="month"/>
    <x v="0"/>
    <x v="1"/>
    <x v="1"/>
  </r>
  <r>
    <n v="210617010"/>
    <x v="215"/>
    <x v="270"/>
    <x v="0"/>
    <n v="39"/>
    <s v="month"/>
    <x v="117"/>
    <x v="1"/>
    <x v="1"/>
  </r>
  <r>
    <n v="210694562"/>
    <x v="215"/>
    <x v="342"/>
    <x v="0"/>
    <n v="39"/>
    <s v="month"/>
    <x v="14"/>
    <x v="1"/>
    <x v="1"/>
  </r>
  <r>
    <n v="134833306"/>
    <x v="215"/>
    <x v="4"/>
    <x v="0"/>
    <n v="39"/>
    <s v="month"/>
    <x v="28"/>
    <x v="1"/>
    <x v="1"/>
  </r>
  <r>
    <n v="211220014"/>
    <x v="216"/>
    <x v="0"/>
    <x v="0"/>
    <n v="39"/>
    <s v="month"/>
    <x v="0"/>
    <x v="2"/>
    <x v="1"/>
  </r>
  <r>
    <n v="121571816"/>
    <x v="216"/>
    <x v="0"/>
    <x v="0"/>
    <n v="39"/>
    <s v="month"/>
    <x v="0"/>
    <x v="2"/>
    <x v="1"/>
  </r>
  <r>
    <n v="211216060"/>
    <x v="216"/>
    <x v="0"/>
    <x v="0"/>
    <n v="39"/>
    <s v="month"/>
    <x v="0"/>
    <x v="2"/>
    <x v="1"/>
  </r>
  <r>
    <n v="211114276"/>
    <x v="216"/>
    <x v="0"/>
    <x v="0"/>
    <n v="39"/>
    <s v="month"/>
    <x v="0"/>
    <x v="2"/>
    <x v="1"/>
  </r>
  <r>
    <n v="211224883"/>
    <x v="216"/>
    <x v="319"/>
    <x v="1"/>
    <n v="39"/>
    <s v="month"/>
    <x v="1"/>
    <x v="2"/>
    <x v="1"/>
  </r>
  <r>
    <n v="211212313"/>
    <x v="216"/>
    <x v="268"/>
    <x v="0"/>
    <n v="39"/>
    <s v="month"/>
    <x v="26"/>
    <x v="2"/>
    <x v="1"/>
  </r>
  <r>
    <n v="210135815"/>
    <x v="216"/>
    <x v="256"/>
    <x v="0"/>
    <n v="39"/>
    <s v="month"/>
    <x v="79"/>
    <x v="2"/>
    <x v="1"/>
  </r>
  <r>
    <n v="211381659"/>
    <x v="217"/>
    <x v="0"/>
    <x v="0"/>
    <n v="39"/>
    <s v="month"/>
    <x v="0"/>
    <x v="3"/>
    <x v="1"/>
  </r>
  <r>
    <n v="183363812"/>
    <x v="217"/>
    <x v="0"/>
    <x v="0"/>
    <n v="39"/>
    <s v="month"/>
    <x v="0"/>
    <x v="3"/>
    <x v="1"/>
  </r>
  <r>
    <n v="211289909"/>
    <x v="217"/>
    <x v="0"/>
    <x v="0"/>
    <n v="39"/>
    <s v="month"/>
    <x v="0"/>
    <x v="3"/>
    <x v="1"/>
  </r>
  <r>
    <n v="211266858"/>
    <x v="217"/>
    <x v="101"/>
    <x v="0"/>
    <n v="39"/>
    <s v="month"/>
    <x v="182"/>
    <x v="3"/>
    <x v="1"/>
  </r>
  <r>
    <n v="153163612"/>
    <x v="217"/>
    <x v="266"/>
    <x v="0"/>
    <n v="39"/>
    <s v="month"/>
    <x v="134"/>
    <x v="3"/>
    <x v="1"/>
  </r>
  <r>
    <n v="209505551"/>
    <x v="217"/>
    <x v="152"/>
    <x v="0"/>
    <n v="39"/>
    <s v="month"/>
    <x v="178"/>
    <x v="3"/>
    <x v="1"/>
  </r>
  <r>
    <n v="211389716"/>
    <x v="218"/>
    <x v="0"/>
    <x v="0"/>
    <n v="39"/>
    <s v="month"/>
    <x v="0"/>
    <x v="4"/>
    <x v="1"/>
  </r>
  <r>
    <n v="211636708"/>
    <x v="218"/>
    <x v="0"/>
    <x v="0"/>
    <n v="39"/>
    <s v="month"/>
    <x v="0"/>
    <x v="4"/>
    <x v="1"/>
  </r>
  <r>
    <n v="176884824"/>
    <x v="218"/>
    <x v="0"/>
    <x v="0"/>
    <n v="39"/>
    <s v="month"/>
    <x v="0"/>
    <x v="4"/>
    <x v="1"/>
  </r>
  <r>
    <n v="211352758"/>
    <x v="218"/>
    <x v="0"/>
    <x v="0"/>
    <n v="39"/>
    <s v="month"/>
    <x v="0"/>
    <x v="4"/>
    <x v="1"/>
  </r>
  <r>
    <n v="210814163"/>
    <x v="218"/>
    <x v="0"/>
    <x v="0"/>
    <n v="39"/>
    <s v="month"/>
    <x v="0"/>
    <x v="4"/>
    <x v="1"/>
  </r>
  <r>
    <n v="210893245"/>
    <x v="218"/>
    <x v="0"/>
    <x v="0"/>
    <n v="39"/>
    <s v="month"/>
    <x v="0"/>
    <x v="4"/>
    <x v="1"/>
  </r>
  <r>
    <n v="130967112"/>
    <x v="218"/>
    <x v="0"/>
    <x v="0"/>
    <n v="39"/>
    <s v="month"/>
    <x v="0"/>
    <x v="4"/>
    <x v="1"/>
  </r>
  <r>
    <n v="199116000"/>
    <x v="218"/>
    <x v="0"/>
    <x v="0"/>
    <n v="39"/>
    <s v="month"/>
    <x v="0"/>
    <x v="4"/>
    <x v="1"/>
  </r>
  <r>
    <n v="161182706"/>
    <x v="218"/>
    <x v="258"/>
    <x v="0"/>
    <n v="39"/>
    <s v="month"/>
    <x v="14"/>
    <x v="4"/>
    <x v="1"/>
  </r>
  <r>
    <n v="211576047"/>
    <x v="219"/>
    <x v="0"/>
    <x v="0"/>
    <n v="39"/>
    <s v="month"/>
    <x v="0"/>
    <x v="5"/>
    <x v="1"/>
  </r>
  <r>
    <n v="211897884"/>
    <x v="219"/>
    <x v="0"/>
    <x v="0"/>
    <n v="39"/>
    <s v="month"/>
    <x v="0"/>
    <x v="5"/>
    <x v="1"/>
  </r>
  <r>
    <n v="211661733"/>
    <x v="219"/>
    <x v="0"/>
    <x v="0"/>
    <n v="39"/>
    <s v="month"/>
    <x v="0"/>
    <x v="5"/>
    <x v="1"/>
  </r>
  <r>
    <n v="211561665"/>
    <x v="219"/>
    <x v="0"/>
    <x v="1"/>
    <n v="39"/>
    <s v="month"/>
    <x v="0"/>
    <x v="5"/>
    <x v="1"/>
  </r>
  <r>
    <n v="211911280"/>
    <x v="219"/>
    <x v="225"/>
    <x v="0"/>
    <n v="39"/>
    <s v="month"/>
    <x v="189"/>
    <x v="5"/>
    <x v="1"/>
  </r>
  <r>
    <n v="123946316"/>
    <x v="219"/>
    <x v="306"/>
    <x v="0"/>
    <n v="39"/>
    <s v="month"/>
    <x v="210"/>
    <x v="5"/>
    <x v="1"/>
  </r>
  <r>
    <n v="144469362"/>
    <x v="219"/>
    <x v="251"/>
    <x v="0"/>
    <n v="39"/>
    <s v="month"/>
    <x v="40"/>
    <x v="5"/>
    <x v="1"/>
  </r>
  <r>
    <n v="187268085"/>
    <x v="219"/>
    <x v="4"/>
    <x v="0"/>
    <n v="39"/>
    <s v="month"/>
    <x v="62"/>
    <x v="5"/>
    <x v="1"/>
  </r>
  <r>
    <n v="210088359"/>
    <x v="219"/>
    <x v="321"/>
    <x v="0"/>
    <n v="39"/>
    <s v="month"/>
    <x v="83"/>
    <x v="5"/>
    <x v="1"/>
  </r>
  <r>
    <n v="211906202"/>
    <x v="219"/>
    <x v="288"/>
    <x v="0"/>
    <n v="39"/>
    <s v="month"/>
    <x v="80"/>
    <x v="5"/>
    <x v="1"/>
  </r>
  <r>
    <n v="126391978"/>
    <x v="219"/>
    <x v="240"/>
    <x v="0"/>
    <n v="39"/>
    <s v="month"/>
    <x v="181"/>
    <x v="5"/>
    <x v="1"/>
  </r>
  <r>
    <n v="154753462"/>
    <x v="220"/>
    <x v="0"/>
    <x v="0"/>
    <n v="39"/>
    <s v="month"/>
    <x v="0"/>
    <x v="6"/>
    <x v="1"/>
  </r>
  <r>
    <n v="212049757"/>
    <x v="220"/>
    <x v="0"/>
    <x v="0"/>
    <n v="39"/>
    <s v="month"/>
    <x v="0"/>
    <x v="6"/>
    <x v="1"/>
  </r>
  <r>
    <n v="147015210"/>
    <x v="220"/>
    <x v="0"/>
    <x v="0"/>
    <n v="39"/>
    <s v="month"/>
    <x v="0"/>
    <x v="6"/>
    <x v="1"/>
  </r>
  <r>
    <n v="212057431"/>
    <x v="220"/>
    <x v="257"/>
    <x v="1"/>
    <n v="39"/>
    <s v="month"/>
    <x v="1"/>
    <x v="6"/>
    <x v="1"/>
  </r>
  <r>
    <n v="205734465"/>
    <x v="220"/>
    <x v="308"/>
    <x v="0"/>
    <n v="39"/>
    <s v="month"/>
    <x v="110"/>
    <x v="6"/>
    <x v="1"/>
  </r>
  <r>
    <n v="208772540"/>
    <x v="220"/>
    <x v="300"/>
    <x v="0"/>
    <n v="39"/>
    <s v="month"/>
    <x v="23"/>
    <x v="6"/>
    <x v="1"/>
  </r>
  <r>
    <n v="182357706"/>
    <x v="220"/>
    <x v="255"/>
    <x v="0"/>
    <n v="39"/>
    <s v="month"/>
    <x v="6"/>
    <x v="6"/>
    <x v="1"/>
  </r>
  <r>
    <n v="211333348"/>
    <x v="220"/>
    <x v="341"/>
    <x v="0"/>
    <n v="39"/>
    <s v="month"/>
    <x v="168"/>
    <x v="6"/>
    <x v="1"/>
  </r>
  <r>
    <n v="211334702"/>
    <x v="220"/>
    <x v="344"/>
    <x v="0"/>
    <n v="39"/>
    <s v="month"/>
    <x v="54"/>
    <x v="6"/>
    <x v="1"/>
  </r>
  <r>
    <n v="212129575"/>
    <x v="221"/>
    <x v="0"/>
    <x v="0"/>
    <n v="39"/>
    <s v="month"/>
    <x v="0"/>
    <x v="0"/>
    <x v="1"/>
  </r>
  <r>
    <n v="209733088"/>
    <x v="221"/>
    <x v="0"/>
    <x v="0"/>
    <n v="39"/>
    <s v="month"/>
    <x v="0"/>
    <x v="0"/>
    <x v="1"/>
  </r>
  <r>
    <n v="152792045"/>
    <x v="221"/>
    <x v="177"/>
    <x v="0"/>
    <n v="39"/>
    <s v="month"/>
    <x v="39"/>
    <x v="0"/>
    <x v="1"/>
  </r>
  <r>
    <n v="212163568"/>
    <x v="221"/>
    <x v="323"/>
    <x v="0"/>
    <n v="39"/>
    <s v="month"/>
    <x v="192"/>
    <x v="0"/>
    <x v="1"/>
  </r>
  <r>
    <n v="212260363"/>
    <x v="221"/>
    <x v="15"/>
    <x v="0"/>
    <n v="39"/>
    <s v="month"/>
    <x v="62"/>
    <x v="0"/>
    <x v="1"/>
  </r>
  <r>
    <n v="212164158"/>
    <x v="221"/>
    <x v="293"/>
    <x v="0"/>
    <n v="39"/>
    <s v="month"/>
    <x v="38"/>
    <x v="0"/>
    <x v="1"/>
  </r>
  <r>
    <n v="155604779"/>
    <x v="221"/>
    <x v="255"/>
    <x v="0"/>
    <n v="39"/>
    <s v="month"/>
    <x v="33"/>
    <x v="0"/>
    <x v="1"/>
  </r>
  <r>
    <n v="150421022"/>
    <x v="221"/>
    <x v="273"/>
    <x v="0"/>
    <n v="39"/>
    <s v="month"/>
    <x v="117"/>
    <x v="0"/>
    <x v="1"/>
  </r>
  <r>
    <n v="122616012"/>
    <x v="221"/>
    <x v="3"/>
    <x v="0"/>
    <n v="39"/>
    <s v="month"/>
    <x v="148"/>
    <x v="0"/>
    <x v="1"/>
  </r>
  <r>
    <n v="209356278"/>
    <x v="222"/>
    <x v="0"/>
    <x v="0"/>
    <n v="39"/>
    <s v="month"/>
    <x v="0"/>
    <x v="1"/>
    <x v="1"/>
  </r>
  <r>
    <n v="212604642"/>
    <x v="222"/>
    <x v="0"/>
    <x v="0"/>
    <n v="39"/>
    <s v="month"/>
    <x v="0"/>
    <x v="1"/>
    <x v="1"/>
  </r>
  <r>
    <n v="210730447"/>
    <x v="222"/>
    <x v="0"/>
    <x v="0"/>
    <n v="39"/>
    <s v="month"/>
    <x v="0"/>
    <x v="1"/>
    <x v="1"/>
  </r>
  <r>
    <n v="212388726"/>
    <x v="222"/>
    <x v="0"/>
    <x v="1"/>
    <n v="39"/>
    <s v="month"/>
    <x v="0"/>
    <x v="1"/>
    <x v="1"/>
  </r>
  <r>
    <n v="127793951"/>
    <x v="222"/>
    <x v="335"/>
    <x v="0"/>
    <n v="39"/>
    <s v="month"/>
    <x v="161"/>
    <x v="1"/>
    <x v="1"/>
  </r>
  <r>
    <n v="189715793"/>
    <x v="222"/>
    <x v="326"/>
    <x v="0"/>
    <n v="39"/>
    <s v="month"/>
    <x v="14"/>
    <x v="1"/>
    <x v="1"/>
  </r>
  <r>
    <n v="148369126"/>
    <x v="223"/>
    <x v="0"/>
    <x v="0"/>
    <n v="39"/>
    <s v="month"/>
    <x v="0"/>
    <x v="2"/>
    <x v="1"/>
  </r>
  <r>
    <n v="157503290"/>
    <x v="223"/>
    <x v="288"/>
    <x v="0"/>
    <n v="39"/>
    <s v="month"/>
    <x v="14"/>
    <x v="2"/>
    <x v="1"/>
  </r>
  <r>
    <n v="212712986"/>
    <x v="223"/>
    <x v="285"/>
    <x v="0"/>
    <n v="39"/>
    <s v="month"/>
    <x v="192"/>
    <x v="2"/>
    <x v="1"/>
  </r>
  <r>
    <n v="204512028"/>
    <x v="223"/>
    <x v="237"/>
    <x v="0"/>
    <n v="39"/>
    <s v="month"/>
    <x v="35"/>
    <x v="2"/>
    <x v="1"/>
  </r>
  <r>
    <n v="147066240"/>
    <x v="223"/>
    <x v="300"/>
    <x v="0"/>
    <n v="39"/>
    <s v="month"/>
    <x v="134"/>
    <x v="2"/>
    <x v="1"/>
  </r>
  <r>
    <n v="212759443"/>
    <x v="224"/>
    <x v="23"/>
    <x v="0"/>
    <n v="39"/>
    <s v="month"/>
    <x v="11"/>
    <x v="3"/>
    <x v="1"/>
  </r>
  <r>
    <n v="212042832"/>
    <x v="225"/>
    <x v="0"/>
    <x v="0"/>
    <n v="39"/>
    <s v="month"/>
    <x v="0"/>
    <x v="4"/>
    <x v="1"/>
  </r>
  <r>
    <n v="212113682"/>
    <x v="225"/>
    <x v="0"/>
    <x v="0"/>
    <n v="39"/>
    <s v="month"/>
    <x v="0"/>
    <x v="4"/>
    <x v="1"/>
  </r>
  <r>
    <n v="181175226"/>
    <x v="225"/>
    <x v="0"/>
    <x v="0"/>
    <n v="39"/>
    <s v="month"/>
    <x v="0"/>
    <x v="4"/>
    <x v="1"/>
  </r>
  <r>
    <n v="201817514"/>
    <x v="225"/>
    <x v="256"/>
    <x v="0"/>
    <n v="39"/>
    <s v="month"/>
    <x v="1"/>
    <x v="4"/>
    <x v="1"/>
  </r>
  <r>
    <n v="168698174"/>
    <x v="225"/>
    <x v="299"/>
    <x v="0"/>
    <n v="39"/>
    <s v="month"/>
    <x v="11"/>
    <x v="4"/>
    <x v="1"/>
  </r>
  <r>
    <n v="170512298"/>
    <x v="225"/>
    <x v="237"/>
    <x v="0"/>
    <n v="39"/>
    <s v="month"/>
    <x v="44"/>
    <x v="4"/>
    <x v="1"/>
  </r>
  <r>
    <n v="213181546"/>
    <x v="225"/>
    <x v="73"/>
    <x v="0"/>
    <n v="39"/>
    <s v="month"/>
    <x v="19"/>
    <x v="4"/>
    <x v="1"/>
  </r>
  <r>
    <n v="154535908"/>
    <x v="225"/>
    <x v="345"/>
    <x v="0"/>
    <n v="39"/>
    <s v="month"/>
    <x v="39"/>
    <x v="4"/>
    <x v="1"/>
  </r>
  <r>
    <n v="151540809"/>
    <x v="225"/>
    <x v="309"/>
    <x v="0"/>
    <n v="39"/>
    <s v="month"/>
    <x v="108"/>
    <x v="4"/>
    <x v="1"/>
  </r>
  <r>
    <n v="212334937"/>
    <x v="225"/>
    <x v="317"/>
    <x v="0"/>
    <n v="39"/>
    <s v="month"/>
    <x v="28"/>
    <x v="4"/>
    <x v="1"/>
  </r>
  <r>
    <n v="204766175"/>
    <x v="225"/>
    <x v="346"/>
    <x v="0"/>
    <n v="39"/>
    <s v="month"/>
    <x v="138"/>
    <x v="4"/>
    <x v="1"/>
  </r>
  <r>
    <n v="212055738"/>
    <x v="225"/>
    <x v="347"/>
    <x v="0"/>
    <n v="39"/>
    <s v="month"/>
    <x v="69"/>
    <x v="4"/>
    <x v="1"/>
  </r>
  <r>
    <n v="211907956"/>
    <x v="226"/>
    <x v="0"/>
    <x v="0"/>
    <n v="39"/>
    <s v="month"/>
    <x v="0"/>
    <x v="5"/>
    <x v="1"/>
  </r>
  <r>
    <n v="212759443"/>
    <x v="226"/>
    <x v="0"/>
    <x v="0"/>
    <n v="39"/>
    <s v="month"/>
    <x v="0"/>
    <x v="5"/>
    <x v="1"/>
  </r>
  <r>
    <n v="213182327"/>
    <x v="226"/>
    <x v="0"/>
    <x v="0"/>
    <n v="39"/>
    <s v="month"/>
    <x v="0"/>
    <x v="5"/>
    <x v="1"/>
  </r>
  <r>
    <n v="213442067"/>
    <x v="226"/>
    <x v="0"/>
    <x v="0"/>
    <n v="39"/>
    <s v="month"/>
    <x v="0"/>
    <x v="5"/>
    <x v="1"/>
  </r>
  <r>
    <n v="213427247"/>
    <x v="226"/>
    <x v="0"/>
    <x v="0"/>
    <n v="39"/>
    <s v="month"/>
    <x v="0"/>
    <x v="5"/>
    <x v="1"/>
  </r>
  <r>
    <n v="172476368"/>
    <x v="226"/>
    <x v="237"/>
    <x v="0"/>
    <n v="39"/>
    <s v="month"/>
    <x v="62"/>
    <x v="5"/>
    <x v="1"/>
  </r>
  <r>
    <n v="148900262"/>
    <x v="226"/>
    <x v="322"/>
    <x v="0"/>
    <n v="39"/>
    <s v="month"/>
    <x v="182"/>
    <x v="5"/>
    <x v="1"/>
  </r>
  <r>
    <n v="213450505"/>
    <x v="226"/>
    <x v="58"/>
    <x v="0"/>
    <n v="39"/>
    <s v="month"/>
    <x v="44"/>
    <x v="5"/>
    <x v="1"/>
  </r>
  <r>
    <n v="168261038"/>
    <x v="226"/>
    <x v="324"/>
    <x v="0"/>
    <n v="39"/>
    <s v="month"/>
    <x v="87"/>
    <x v="5"/>
    <x v="1"/>
  </r>
  <r>
    <n v="207018786"/>
    <x v="226"/>
    <x v="344"/>
    <x v="0"/>
    <n v="39"/>
    <s v="month"/>
    <x v="12"/>
    <x v="5"/>
    <x v="1"/>
  </r>
  <r>
    <n v="213781045"/>
    <x v="227"/>
    <x v="0"/>
    <x v="0"/>
    <n v="39"/>
    <s v="month"/>
    <x v="0"/>
    <x v="6"/>
    <x v="1"/>
  </r>
  <r>
    <n v="213785402"/>
    <x v="227"/>
    <x v="225"/>
    <x v="0"/>
    <n v="39"/>
    <s v="month"/>
    <x v="104"/>
    <x v="6"/>
    <x v="1"/>
  </r>
  <r>
    <n v="213689187"/>
    <x v="227"/>
    <x v="289"/>
    <x v="1"/>
    <n v="39"/>
    <s v="month"/>
    <x v="1"/>
    <x v="6"/>
    <x v="1"/>
  </r>
  <r>
    <n v="213413298"/>
    <x v="227"/>
    <x v="185"/>
    <x v="1"/>
    <n v="39"/>
    <s v="month"/>
    <x v="11"/>
    <x v="6"/>
    <x v="1"/>
  </r>
  <r>
    <n v="184458429"/>
    <x v="227"/>
    <x v="308"/>
    <x v="0"/>
    <n v="39"/>
    <s v="month"/>
    <x v="43"/>
    <x v="6"/>
    <x v="1"/>
  </r>
  <r>
    <n v="212190070"/>
    <x v="227"/>
    <x v="338"/>
    <x v="0"/>
    <n v="39"/>
    <s v="month"/>
    <x v="94"/>
    <x v="6"/>
    <x v="1"/>
  </r>
  <r>
    <n v="212737739"/>
    <x v="227"/>
    <x v="285"/>
    <x v="0"/>
    <n v="39"/>
    <s v="month"/>
    <x v="190"/>
    <x v="6"/>
    <x v="1"/>
  </r>
  <r>
    <n v="211904660"/>
    <x v="228"/>
    <x v="0"/>
    <x v="0"/>
    <n v="39"/>
    <s v="month"/>
    <x v="0"/>
    <x v="0"/>
    <x v="1"/>
  </r>
  <r>
    <n v="112792926"/>
    <x v="228"/>
    <x v="0"/>
    <x v="0"/>
    <n v="39"/>
    <s v="month"/>
    <x v="0"/>
    <x v="0"/>
    <x v="1"/>
  </r>
  <r>
    <n v="213914942"/>
    <x v="228"/>
    <x v="0"/>
    <x v="0"/>
    <n v="39"/>
    <s v="month"/>
    <x v="0"/>
    <x v="0"/>
    <x v="1"/>
  </r>
  <r>
    <n v="189220435"/>
    <x v="228"/>
    <x v="300"/>
    <x v="0"/>
    <n v="39"/>
    <s v="month"/>
    <x v="79"/>
    <x v="0"/>
    <x v="1"/>
  </r>
  <r>
    <n v="203237584"/>
    <x v="228"/>
    <x v="152"/>
    <x v="0"/>
    <n v="39"/>
    <s v="month"/>
    <x v="225"/>
    <x v="0"/>
    <x v="1"/>
  </r>
  <r>
    <n v="213179140"/>
    <x v="228"/>
    <x v="258"/>
    <x v="0"/>
    <n v="39"/>
    <s v="month"/>
    <x v="62"/>
    <x v="0"/>
    <x v="1"/>
  </r>
  <r>
    <n v="211629536"/>
    <x v="228"/>
    <x v="267"/>
    <x v="0"/>
    <n v="39"/>
    <s v="month"/>
    <x v="14"/>
    <x v="0"/>
    <x v="1"/>
  </r>
  <r>
    <n v="204953211"/>
    <x v="228"/>
    <x v="267"/>
    <x v="0"/>
    <n v="39"/>
    <s v="month"/>
    <x v="14"/>
    <x v="0"/>
    <x v="1"/>
  </r>
  <r>
    <n v="111394466"/>
    <x v="228"/>
    <x v="311"/>
    <x v="0"/>
    <n v="39"/>
    <s v="month"/>
    <x v="117"/>
    <x v="0"/>
    <x v="1"/>
  </r>
  <r>
    <n v="214107134"/>
    <x v="229"/>
    <x v="0"/>
    <x v="0"/>
    <n v="39"/>
    <s v="month"/>
    <x v="0"/>
    <x v="1"/>
    <x v="1"/>
  </r>
  <r>
    <n v="214105034"/>
    <x v="229"/>
    <x v="0"/>
    <x v="0"/>
    <n v="39"/>
    <s v="month"/>
    <x v="0"/>
    <x v="1"/>
    <x v="1"/>
  </r>
  <r>
    <n v="214124745"/>
    <x v="229"/>
    <x v="290"/>
    <x v="0"/>
    <n v="39"/>
    <s v="month"/>
    <x v="161"/>
    <x v="1"/>
    <x v="1"/>
  </r>
  <r>
    <n v="214107426"/>
    <x v="229"/>
    <x v="248"/>
    <x v="1"/>
    <n v="39"/>
    <s v="month"/>
    <x v="1"/>
    <x v="1"/>
    <x v="1"/>
  </r>
  <r>
    <n v="213980322"/>
    <x v="229"/>
    <x v="177"/>
    <x v="0"/>
    <n v="39"/>
    <s v="month"/>
    <x v="8"/>
    <x v="1"/>
    <x v="1"/>
  </r>
  <r>
    <n v="213434919"/>
    <x v="229"/>
    <x v="141"/>
    <x v="0"/>
    <n v="39"/>
    <s v="month"/>
    <x v="11"/>
    <x v="1"/>
    <x v="1"/>
  </r>
  <r>
    <n v="214129448"/>
    <x v="229"/>
    <x v="176"/>
    <x v="0"/>
    <n v="39"/>
    <s v="month"/>
    <x v="12"/>
    <x v="1"/>
    <x v="1"/>
  </r>
  <r>
    <n v="213944536"/>
    <x v="229"/>
    <x v="173"/>
    <x v="0"/>
    <n v="39"/>
    <s v="month"/>
    <x v="94"/>
    <x v="1"/>
    <x v="1"/>
  </r>
  <r>
    <n v="214052531"/>
    <x v="229"/>
    <x v="331"/>
    <x v="0"/>
    <n v="39"/>
    <s v="month"/>
    <x v="69"/>
    <x v="1"/>
    <x v="1"/>
  </r>
  <r>
    <n v="214196608"/>
    <x v="230"/>
    <x v="0"/>
    <x v="0"/>
    <n v="39"/>
    <s v="month"/>
    <x v="0"/>
    <x v="2"/>
    <x v="1"/>
  </r>
  <r>
    <n v="125299295"/>
    <x v="230"/>
    <x v="338"/>
    <x v="0"/>
    <n v="39"/>
    <s v="month"/>
    <x v="27"/>
    <x v="2"/>
    <x v="1"/>
  </r>
  <r>
    <n v="214199386"/>
    <x v="230"/>
    <x v="235"/>
    <x v="0"/>
    <n v="39"/>
    <s v="month"/>
    <x v="134"/>
    <x v="2"/>
    <x v="1"/>
  </r>
  <r>
    <n v="214191851"/>
    <x v="230"/>
    <x v="82"/>
    <x v="0"/>
    <n v="39"/>
    <s v="month"/>
    <x v="40"/>
    <x v="2"/>
    <x v="1"/>
  </r>
  <r>
    <n v="214174478"/>
    <x v="230"/>
    <x v="288"/>
    <x v="0"/>
    <n v="39"/>
    <s v="month"/>
    <x v="35"/>
    <x v="2"/>
    <x v="1"/>
  </r>
  <r>
    <n v="214264465"/>
    <x v="231"/>
    <x v="0"/>
    <x v="0"/>
    <n v="39"/>
    <s v="month"/>
    <x v="0"/>
    <x v="3"/>
    <x v="1"/>
  </r>
  <r>
    <n v="214261616"/>
    <x v="231"/>
    <x v="0"/>
    <x v="0"/>
    <n v="39"/>
    <s v="month"/>
    <x v="0"/>
    <x v="3"/>
    <x v="1"/>
  </r>
  <r>
    <n v="214178644"/>
    <x v="231"/>
    <x v="0"/>
    <x v="0"/>
    <n v="39"/>
    <s v="month"/>
    <x v="0"/>
    <x v="3"/>
    <x v="1"/>
  </r>
  <r>
    <n v="214202809"/>
    <x v="231"/>
    <x v="288"/>
    <x v="0"/>
    <n v="39"/>
    <s v="month"/>
    <x v="72"/>
    <x v="3"/>
    <x v="1"/>
  </r>
  <r>
    <n v="214220188"/>
    <x v="232"/>
    <x v="0"/>
    <x v="0"/>
    <n v="39"/>
    <s v="month"/>
    <x v="0"/>
    <x v="4"/>
    <x v="1"/>
  </r>
  <r>
    <n v="212113435"/>
    <x v="232"/>
    <x v="0"/>
    <x v="0"/>
    <n v="39"/>
    <s v="month"/>
    <x v="0"/>
    <x v="4"/>
    <x v="1"/>
  </r>
  <r>
    <n v="213431638"/>
    <x v="232"/>
    <x v="0"/>
    <x v="0"/>
    <n v="39"/>
    <s v="month"/>
    <x v="0"/>
    <x v="4"/>
    <x v="1"/>
  </r>
  <r>
    <n v="214102994"/>
    <x v="232"/>
    <x v="0"/>
    <x v="0"/>
    <n v="39"/>
    <s v="month"/>
    <x v="0"/>
    <x v="4"/>
    <x v="1"/>
  </r>
  <r>
    <n v="177266058"/>
    <x v="232"/>
    <x v="0"/>
    <x v="0"/>
    <n v="39"/>
    <s v="month"/>
    <x v="0"/>
    <x v="4"/>
    <x v="1"/>
  </r>
  <r>
    <n v="116060198"/>
    <x v="232"/>
    <x v="0"/>
    <x v="0"/>
    <n v="39"/>
    <s v="month"/>
    <x v="0"/>
    <x v="4"/>
    <x v="1"/>
  </r>
  <r>
    <n v="214312843"/>
    <x v="232"/>
    <x v="0"/>
    <x v="0"/>
    <n v="39"/>
    <s v="month"/>
    <x v="0"/>
    <x v="4"/>
    <x v="1"/>
  </r>
  <r>
    <n v="156245288"/>
    <x v="232"/>
    <x v="322"/>
    <x v="0"/>
    <n v="39"/>
    <s v="month"/>
    <x v="118"/>
    <x v="4"/>
    <x v="1"/>
  </r>
  <r>
    <n v="148869972"/>
    <x v="232"/>
    <x v="15"/>
    <x v="0"/>
    <n v="39"/>
    <s v="month"/>
    <x v="178"/>
    <x v="4"/>
    <x v="1"/>
  </r>
  <r>
    <n v="156186115"/>
    <x v="232"/>
    <x v="258"/>
    <x v="0"/>
    <n v="39"/>
    <s v="month"/>
    <x v="182"/>
    <x v="4"/>
    <x v="1"/>
  </r>
  <r>
    <n v="207235755"/>
    <x v="232"/>
    <x v="288"/>
    <x v="0"/>
    <n v="39"/>
    <s v="month"/>
    <x v="44"/>
    <x v="4"/>
    <x v="1"/>
  </r>
  <r>
    <n v="169235213"/>
    <x v="232"/>
    <x v="285"/>
    <x v="0"/>
    <n v="39"/>
    <s v="month"/>
    <x v="14"/>
    <x v="4"/>
    <x v="1"/>
  </r>
  <r>
    <n v="213692152"/>
    <x v="232"/>
    <x v="45"/>
    <x v="0"/>
    <n v="39"/>
    <s v="month"/>
    <x v="28"/>
    <x v="4"/>
    <x v="1"/>
  </r>
  <r>
    <n v="214352003"/>
    <x v="232"/>
    <x v="225"/>
    <x v="0"/>
    <n v="39"/>
    <s v="month"/>
    <x v="147"/>
    <x v="4"/>
    <x v="1"/>
  </r>
  <r>
    <n v="139691790"/>
    <x v="233"/>
    <x v="312"/>
    <x v="0"/>
    <n v="39"/>
    <s v="month"/>
    <x v="94"/>
    <x v="5"/>
    <x v="1"/>
  </r>
  <r>
    <n v="210646453"/>
    <x v="233"/>
    <x v="345"/>
    <x v="0"/>
    <n v="39"/>
    <s v="month"/>
    <x v="8"/>
    <x v="5"/>
    <x v="1"/>
  </r>
  <r>
    <n v="206891005"/>
    <x v="233"/>
    <x v="258"/>
    <x v="0"/>
    <n v="39"/>
    <s v="month"/>
    <x v="2"/>
    <x v="5"/>
    <x v="1"/>
  </r>
  <r>
    <n v="212293354"/>
    <x v="233"/>
    <x v="152"/>
    <x v="0"/>
    <n v="39"/>
    <s v="month"/>
    <x v="11"/>
    <x v="5"/>
    <x v="1"/>
  </r>
  <r>
    <n v="214464069"/>
    <x v="234"/>
    <x v="0"/>
    <x v="0"/>
    <n v="39"/>
    <s v="month"/>
    <x v="0"/>
    <x v="6"/>
    <x v="1"/>
  </r>
  <r>
    <n v="214446543"/>
    <x v="234"/>
    <x v="0"/>
    <x v="0"/>
    <n v="39"/>
    <s v="month"/>
    <x v="0"/>
    <x v="6"/>
    <x v="1"/>
  </r>
  <r>
    <n v="212376935"/>
    <x v="234"/>
    <x v="303"/>
    <x v="0"/>
    <n v="39"/>
    <s v="month"/>
    <x v="155"/>
    <x v="6"/>
    <x v="1"/>
  </r>
  <r>
    <n v="173118928"/>
    <x v="234"/>
    <x v="212"/>
    <x v="0"/>
    <n v="39"/>
    <s v="month"/>
    <x v="14"/>
    <x v="6"/>
    <x v="1"/>
  </r>
  <r>
    <n v="214410106"/>
    <x v="234"/>
    <x v="258"/>
    <x v="0"/>
    <n v="39"/>
    <s v="month"/>
    <x v="86"/>
    <x v="6"/>
    <x v="1"/>
  </r>
  <r>
    <n v="214093520"/>
    <x v="234"/>
    <x v="330"/>
    <x v="0"/>
    <n v="39"/>
    <s v="month"/>
    <x v="44"/>
    <x v="6"/>
    <x v="1"/>
  </r>
  <r>
    <n v="214441521"/>
    <x v="234"/>
    <x v="330"/>
    <x v="0"/>
    <n v="39"/>
    <s v="month"/>
    <x v="44"/>
    <x v="6"/>
    <x v="1"/>
  </r>
  <r>
    <n v="214519787"/>
    <x v="235"/>
    <x v="0"/>
    <x v="0"/>
    <n v="39"/>
    <s v="month"/>
    <x v="0"/>
    <x v="0"/>
    <x v="1"/>
  </r>
  <r>
    <n v="213177724"/>
    <x v="235"/>
    <x v="0"/>
    <x v="0"/>
    <n v="39"/>
    <s v="month"/>
    <x v="0"/>
    <x v="0"/>
    <x v="1"/>
  </r>
  <r>
    <n v="213421956"/>
    <x v="235"/>
    <x v="336"/>
    <x v="1"/>
    <n v="39"/>
    <s v="month"/>
    <x v="1"/>
    <x v="0"/>
    <x v="1"/>
  </r>
  <r>
    <n v="151094649"/>
    <x v="235"/>
    <x v="267"/>
    <x v="0"/>
    <n v="39"/>
    <s v="month"/>
    <x v="35"/>
    <x v="0"/>
    <x v="1"/>
  </r>
  <r>
    <n v="160056180"/>
    <x v="235"/>
    <x v="178"/>
    <x v="0"/>
    <n v="39"/>
    <s v="month"/>
    <x v="28"/>
    <x v="0"/>
    <x v="1"/>
  </r>
  <r>
    <n v="166480898"/>
    <x v="235"/>
    <x v="45"/>
    <x v="0"/>
    <n v="39"/>
    <s v="month"/>
    <x v="44"/>
    <x v="0"/>
    <x v="1"/>
  </r>
  <r>
    <n v="182085396"/>
    <x v="235"/>
    <x v="127"/>
    <x v="0"/>
    <n v="39"/>
    <s v="month"/>
    <x v="14"/>
    <x v="0"/>
    <x v="1"/>
  </r>
  <r>
    <n v="214519010"/>
    <x v="235"/>
    <x v="178"/>
    <x v="0"/>
    <n v="39"/>
    <s v="month"/>
    <x v="28"/>
    <x v="0"/>
    <x v="1"/>
  </r>
  <r>
    <n v="148657735"/>
    <x v="235"/>
    <x v="324"/>
    <x v="0"/>
    <n v="39"/>
    <s v="month"/>
    <x v="72"/>
    <x v="0"/>
    <x v="1"/>
  </r>
  <r>
    <n v="214555461"/>
    <x v="236"/>
    <x v="0"/>
    <x v="0"/>
    <n v="39"/>
    <s v="month"/>
    <x v="0"/>
    <x v="1"/>
    <x v="1"/>
  </r>
  <r>
    <n v="148042512"/>
    <x v="236"/>
    <x v="0"/>
    <x v="0"/>
    <n v="39"/>
    <s v="month"/>
    <x v="0"/>
    <x v="1"/>
    <x v="1"/>
  </r>
  <r>
    <n v="214534717"/>
    <x v="236"/>
    <x v="0"/>
    <x v="0"/>
    <n v="39"/>
    <s v="month"/>
    <x v="0"/>
    <x v="1"/>
    <x v="1"/>
  </r>
  <r>
    <n v="211223610"/>
    <x v="236"/>
    <x v="209"/>
    <x v="0"/>
    <n v="39"/>
    <s v="month"/>
    <x v="39"/>
    <x v="1"/>
    <x v="1"/>
  </r>
  <r>
    <n v="214444866"/>
    <x v="236"/>
    <x v="99"/>
    <x v="0"/>
    <n v="39"/>
    <s v="month"/>
    <x v="94"/>
    <x v="1"/>
    <x v="1"/>
  </r>
  <r>
    <n v="206477826"/>
    <x v="236"/>
    <x v="343"/>
    <x v="0"/>
    <n v="39"/>
    <s v="month"/>
    <x v="14"/>
    <x v="1"/>
    <x v="1"/>
  </r>
  <r>
    <n v="214589440"/>
    <x v="236"/>
    <x v="178"/>
    <x v="0"/>
    <n v="39"/>
    <s v="month"/>
    <x v="35"/>
    <x v="1"/>
    <x v="1"/>
  </r>
  <r>
    <n v="214516527"/>
    <x v="236"/>
    <x v="323"/>
    <x v="0"/>
    <n v="39"/>
    <s v="month"/>
    <x v="28"/>
    <x v="1"/>
    <x v="1"/>
  </r>
  <r>
    <n v="158980862"/>
    <x v="236"/>
    <x v="258"/>
    <x v="0"/>
    <n v="39"/>
    <s v="month"/>
    <x v="184"/>
    <x v="1"/>
    <x v="1"/>
  </r>
  <r>
    <n v="144769275"/>
    <x v="236"/>
    <x v="336"/>
    <x v="0"/>
    <n v="39"/>
    <s v="month"/>
    <x v="11"/>
    <x v="1"/>
    <x v="1"/>
  </r>
  <r>
    <n v="214508205"/>
    <x v="236"/>
    <x v="255"/>
    <x v="0"/>
    <n v="39"/>
    <s v="month"/>
    <x v="210"/>
    <x v="1"/>
    <x v="1"/>
  </r>
  <r>
    <n v="156178486"/>
    <x v="237"/>
    <x v="0"/>
    <x v="0"/>
    <n v="39"/>
    <s v="month"/>
    <x v="0"/>
    <x v="2"/>
    <x v="1"/>
  </r>
  <r>
    <n v="214584458"/>
    <x v="237"/>
    <x v="240"/>
    <x v="0"/>
    <n v="39"/>
    <s v="month"/>
    <x v="33"/>
    <x v="2"/>
    <x v="1"/>
  </r>
  <r>
    <n v="181935574"/>
    <x v="238"/>
    <x v="0"/>
    <x v="0"/>
    <n v="39"/>
    <s v="month"/>
    <x v="0"/>
    <x v="3"/>
    <x v="1"/>
  </r>
  <r>
    <n v="153006404"/>
    <x v="238"/>
    <x v="126"/>
    <x v="0"/>
    <n v="39"/>
    <s v="month"/>
    <x v="40"/>
    <x v="3"/>
    <x v="1"/>
  </r>
  <r>
    <n v="214423891"/>
    <x v="238"/>
    <x v="212"/>
    <x v="0"/>
    <n v="39"/>
    <s v="month"/>
    <x v="156"/>
    <x v="3"/>
    <x v="1"/>
  </r>
  <r>
    <n v="214510838"/>
    <x v="238"/>
    <x v="268"/>
    <x v="0"/>
    <n v="39"/>
    <s v="month"/>
    <x v="14"/>
    <x v="3"/>
    <x v="1"/>
  </r>
  <r>
    <n v="211383216"/>
    <x v="238"/>
    <x v="101"/>
    <x v="0"/>
    <n v="39"/>
    <s v="month"/>
    <x v="208"/>
    <x v="3"/>
    <x v="1"/>
  </r>
  <r>
    <n v="214641741"/>
    <x v="238"/>
    <x v="251"/>
    <x v="0"/>
    <n v="39"/>
    <s v="month"/>
    <x v="1"/>
    <x v="3"/>
    <x v="1"/>
  </r>
  <r>
    <n v="214643362"/>
    <x v="238"/>
    <x v="187"/>
    <x v="0"/>
    <n v="39"/>
    <s v="month"/>
    <x v="94"/>
    <x v="3"/>
    <x v="1"/>
  </r>
  <r>
    <n v="214419772"/>
    <x v="239"/>
    <x v="0"/>
    <x v="0"/>
    <n v="39"/>
    <s v="month"/>
    <x v="0"/>
    <x v="4"/>
    <x v="1"/>
  </r>
  <r>
    <n v="213227787"/>
    <x v="239"/>
    <x v="0"/>
    <x v="0"/>
    <n v="39"/>
    <s v="month"/>
    <x v="0"/>
    <x v="4"/>
    <x v="1"/>
  </r>
  <r>
    <n v="214666572"/>
    <x v="239"/>
    <x v="0"/>
    <x v="0"/>
    <n v="39"/>
    <s v="month"/>
    <x v="0"/>
    <x v="4"/>
    <x v="1"/>
  </r>
  <r>
    <n v="126780716"/>
    <x v="239"/>
    <x v="73"/>
    <x v="0"/>
    <n v="39"/>
    <s v="month"/>
    <x v="28"/>
    <x v="4"/>
    <x v="1"/>
  </r>
  <r>
    <n v="214682826"/>
    <x v="239"/>
    <x v="73"/>
    <x v="0"/>
    <n v="39"/>
    <s v="month"/>
    <x v="28"/>
    <x v="4"/>
    <x v="1"/>
  </r>
  <r>
    <n v="212392663"/>
    <x v="239"/>
    <x v="330"/>
    <x v="0"/>
    <n v="39"/>
    <s v="month"/>
    <x v="182"/>
    <x v="4"/>
    <x v="1"/>
  </r>
  <r>
    <n v="147118133"/>
    <x v="239"/>
    <x v="98"/>
    <x v="0"/>
    <n v="39"/>
    <s v="month"/>
    <x v="106"/>
    <x v="4"/>
    <x v="1"/>
  </r>
  <r>
    <n v="157031617"/>
    <x v="240"/>
    <x v="0"/>
    <x v="0"/>
    <n v="39"/>
    <s v="month"/>
    <x v="0"/>
    <x v="5"/>
    <x v="1"/>
  </r>
  <r>
    <n v="211958379"/>
    <x v="240"/>
    <x v="0"/>
    <x v="0"/>
    <n v="39"/>
    <s v="month"/>
    <x v="0"/>
    <x v="5"/>
    <x v="1"/>
  </r>
  <r>
    <n v="152310842"/>
    <x v="240"/>
    <x v="0"/>
    <x v="0"/>
    <n v="39"/>
    <s v="month"/>
    <x v="0"/>
    <x v="5"/>
    <x v="1"/>
  </r>
  <r>
    <n v="214711907"/>
    <x v="240"/>
    <x v="0"/>
    <x v="0"/>
    <n v="39"/>
    <s v="month"/>
    <x v="0"/>
    <x v="5"/>
    <x v="1"/>
  </r>
  <r>
    <n v="150342446"/>
    <x v="240"/>
    <x v="284"/>
    <x v="0"/>
    <n v="39"/>
    <s v="month"/>
    <x v="1"/>
    <x v="5"/>
    <x v="1"/>
  </r>
  <r>
    <n v="214741130"/>
    <x v="240"/>
    <x v="325"/>
    <x v="0"/>
    <n v="39"/>
    <s v="month"/>
    <x v="39"/>
    <x v="5"/>
    <x v="1"/>
  </r>
  <r>
    <n v="214734037"/>
    <x v="240"/>
    <x v="338"/>
    <x v="0"/>
    <n v="39"/>
    <s v="month"/>
    <x v="122"/>
    <x v="5"/>
    <x v="1"/>
  </r>
  <r>
    <n v="214500293"/>
    <x v="240"/>
    <x v="268"/>
    <x v="0"/>
    <n v="39"/>
    <s v="month"/>
    <x v="167"/>
    <x v="5"/>
    <x v="1"/>
  </r>
  <r>
    <n v="214587827"/>
    <x v="240"/>
    <x v="222"/>
    <x v="0"/>
    <n v="39"/>
    <s v="month"/>
    <x v="53"/>
    <x v="5"/>
    <x v="1"/>
  </r>
  <r>
    <n v="214739055"/>
    <x v="240"/>
    <x v="252"/>
    <x v="0"/>
    <n v="39"/>
    <s v="month"/>
    <x v="106"/>
    <x v="5"/>
    <x v="1"/>
  </r>
  <r>
    <n v="163103693"/>
    <x v="240"/>
    <x v="313"/>
    <x v="0"/>
    <n v="39"/>
    <s v="month"/>
    <x v="158"/>
    <x v="5"/>
    <x v="1"/>
  </r>
  <r>
    <n v="214483378"/>
    <x v="241"/>
    <x v="0"/>
    <x v="0"/>
    <n v="39"/>
    <s v="month"/>
    <x v="0"/>
    <x v="6"/>
    <x v="1"/>
  </r>
  <r>
    <n v="157883110"/>
    <x v="241"/>
    <x v="0"/>
    <x v="0"/>
    <n v="39"/>
    <s v="month"/>
    <x v="0"/>
    <x v="6"/>
    <x v="1"/>
  </r>
  <r>
    <n v="132424181"/>
    <x v="241"/>
    <x v="348"/>
    <x v="0"/>
    <n v="39"/>
    <s v="month"/>
    <x v="200"/>
    <x v="6"/>
    <x v="1"/>
  </r>
  <r>
    <n v="214805206"/>
    <x v="241"/>
    <x v="177"/>
    <x v="0"/>
    <n v="39"/>
    <s v="month"/>
    <x v="122"/>
    <x v="6"/>
    <x v="1"/>
  </r>
  <r>
    <n v="214641940"/>
    <x v="241"/>
    <x v="157"/>
    <x v="0"/>
    <n v="39"/>
    <s v="month"/>
    <x v="87"/>
    <x v="6"/>
    <x v="1"/>
  </r>
  <r>
    <n v="206112289"/>
    <x v="241"/>
    <x v="303"/>
    <x v="0"/>
    <n v="39"/>
    <s v="month"/>
    <x v="57"/>
    <x v="6"/>
    <x v="1"/>
  </r>
  <r>
    <n v="214781323"/>
    <x v="241"/>
    <x v="330"/>
    <x v="0"/>
    <n v="39"/>
    <s v="month"/>
    <x v="86"/>
    <x v="6"/>
    <x v="1"/>
  </r>
  <r>
    <n v="214767936"/>
    <x v="241"/>
    <x v="284"/>
    <x v="0"/>
    <n v="39"/>
    <s v="month"/>
    <x v="11"/>
    <x v="6"/>
    <x v="1"/>
  </r>
  <r>
    <n v="182023209"/>
    <x v="241"/>
    <x v="342"/>
    <x v="0"/>
    <n v="39"/>
    <s v="month"/>
    <x v="125"/>
    <x v="6"/>
    <x v="1"/>
  </r>
  <r>
    <n v="148513036"/>
    <x v="242"/>
    <x v="0"/>
    <x v="0"/>
    <n v="39"/>
    <s v="month"/>
    <x v="0"/>
    <x v="0"/>
    <x v="1"/>
  </r>
  <r>
    <n v="157910445"/>
    <x v="242"/>
    <x v="0"/>
    <x v="0"/>
    <n v="39"/>
    <s v="month"/>
    <x v="0"/>
    <x v="0"/>
    <x v="1"/>
  </r>
  <r>
    <n v="213810773"/>
    <x v="242"/>
    <x v="294"/>
    <x v="0"/>
    <n v="39"/>
    <s v="month"/>
    <x v="121"/>
    <x v="0"/>
    <x v="1"/>
  </r>
  <r>
    <n v="154820233"/>
    <x v="242"/>
    <x v="209"/>
    <x v="0"/>
    <n v="39"/>
    <s v="month"/>
    <x v="169"/>
    <x v="0"/>
    <x v="1"/>
  </r>
  <r>
    <n v="214248197"/>
    <x v="242"/>
    <x v="212"/>
    <x v="0"/>
    <n v="39"/>
    <s v="month"/>
    <x v="72"/>
    <x v="0"/>
    <x v="1"/>
  </r>
  <r>
    <n v="214818730"/>
    <x v="242"/>
    <x v="73"/>
    <x v="0"/>
    <n v="39"/>
    <s v="month"/>
    <x v="44"/>
    <x v="0"/>
    <x v="1"/>
  </r>
  <r>
    <n v="186667733"/>
    <x v="242"/>
    <x v="73"/>
    <x v="0"/>
    <n v="39"/>
    <s v="month"/>
    <x v="44"/>
    <x v="0"/>
    <x v="1"/>
  </r>
  <r>
    <n v="214901781"/>
    <x v="243"/>
    <x v="0"/>
    <x v="0"/>
    <n v="39"/>
    <s v="month"/>
    <x v="0"/>
    <x v="1"/>
    <x v="1"/>
  </r>
  <r>
    <n v="214884589"/>
    <x v="243"/>
    <x v="0"/>
    <x v="0"/>
    <n v="39"/>
    <s v="month"/>
    <x v="0"/>
    <x v="1"/>
    <x v="1"/>
  </r>
  <r>
    <n v="210344586"/>
    <x v="243"/>
    <x v="0"/>
    <x v="0"/>
    <n v="39"/>
    <s v="month"/>
    <x v="0"/>
    <x v="1"/>
    <x v="1"/>
  </r>
  <r>
    <n v="214813191"/>
    <x v="243"/>
    <x v="0"/>
    <x v="0"/>
    <n v="39"/>
    <s v="month"/>
    <x v="0"/>
    <x v="1"/>
    <x v="1"/>
  </r>
  <r>
    <n v="214880602"/>
    <x v="243"/>
    <x v="0"/>
    <x v="0"/>
    <n v="39"/>
    <s v="month"/>
    <x v="0"/>
    <x v="1"/>
    <x v="1"/>
  </r>
  <r>
    <n v="186140999"/>
    <x v="243"/>
    <x v="127"/>
    <x v="0"/>
    <n v="39"/>
    <s v="month"/>
    <x v="72"/>
    <x v="1"/>
    <x v="1"/>
  </r>
  <r>
    <n v="214860336"/>
    <x v="243"/>
    <x v="244"/>
    <x v="0"/>
    <n v="39"/>
    <s v="month"/>
    <x v="26"/>
    <x v="1"/>
    <x v="1"/>
  </r>
  <r>
    <n v="138725699"/>
    <x v="243"/>
    <x v="303"/>
    <x v="0"/>
    <n v="39"/>
    <s v="month"/>
    <x v="87"/>
    <x v="1"/>
    <x v="1"/>
  </r>
  <r>
    <n v="132315255"/>
    <x v="243"/>
    <x v="320"/>
    <x v="0"/>
    <n v="39"/>
    <s v="month"/>
    <x v="11"/>
    <x v="1"/>
    <x v="1"/>
  </r>
  <r>
    <n v="208202304"/>
    <x v="243"/>
    <x v="320"/>
    <x v="0"/>
    <n v="39"/>
    <s v="month"/>
    <x v="11"/>
    <x v="1"/>
    <x v="1"/>
  </r>
  <r>
    <n v="214869362"/>
    <x v="243"/>
    <x v="285"/>
    <x v="0"/>
    <n v="39"/>
    <s v="month"/>
    <x v="20"/>
    <x v="1"/>
    <x v="1"/>
  </r>
  <r>
    <n v="207118054"/>
    <x v="244"/>
    <x v="0"/>
    <x v="0"/>
    <n v="39"/>
    <s v="month"/>
    <x v="0"/>
    <x v="2"/>
    <x v="1"/>
  </r>
  <r>
    <n v="214856586"/>
    <x v="244"/>
    <x v="0"/>
    <x v="0"/>
    <n v="39"/>
    <s v="month"/>
    <x v="0"/>
    <x v="2"/>
    <x v="1"/>
  </r>
  <r>
    <n v="201945254"/>
    <x v="244"/>
    <x v="212"/>
    <x v="0"/>
    <n v="39"/>
    <s v="month"/>
    <x v="62"/>
    <x v="2"/>
    <x v="1"/>
  </r>
  <r>
    <n v="134531651"/>
    <x v="245"/>
    <x v="0"/>
    <x v="0"/>
    <n v="39"/>
    <s v="month"/>
    <x v="0"/>
    <x v="3"/>
    <x v="1"/>
  </r>
  <r>
    <n v="204865394"/>
    <x v="245"/>
    <x v="0"/>
    <x v="0"/>
    <n v="39"/>
    <s v="month"/>
    <x v="0"/>
    <x v="3"/>
    <x v="1"/>
  </r>
  <r>
    <n v="158906669"/>
    <x v="245"/>
    <x v="0"/>
    <x v="0"/>
    <n v="39"/>
    <s v="month"/>
    <x v="0"/>
    <x v="3"/>
    <x v="1"/>
  </r>
  <r>
    <n v="125591366"/>
    <x v="245"/>
    <x v="310"/>
    <x v="0"/>
    <n v="39"/>
    <s v="month"/>
    <x v="53"/>
    <x v="3"/>
    <x v="1"/>
  </r>
  <r>
    <n v="214839844"/>
    <x v="245"/>
    <x v="160"/>
    <x v="0"/>
    <n v="39"/>
    <s v="month"/>
    <x v="94"/>
    <x v="3"/>
    <x v="1"/>
  </r>
  <r>
    <n v="214939612"/>
    <x v="245"/>
    <x v="244"/>
    <x v="0"/>
    <n v="39"/>
    <s v="month"/>
    <x v="110"/>
    <x v="3"/>
    <x v="1"/>
  </r>
  <r>
    <n v="204670100"/>
    <x v="245"/>
    <x v="346"/>
    <x v="0"/>
    <n v="39"/>
    <s v="month"/>
    <x v="39"/>
    <x v="3"/>
    <x v="1"/>
  </r>
  <r>
    <n v="214830539"/>
    <x v="245"/>
    <x v="69"/>
    <x v="0"/>
    <n v="39"/>
    <s v="month"/>
    <x v="87"/>
    <x v="3"/>
    <x v="1"/>
  </r>
  <r>
    <n v="185952990"/>
    <x v="245"/>
    <x v="157"/>
    <x v="0"/>
    <n v="39"/>
    <s v="month"/>
    <x v="36"/>
    <x v="3"/>
    <x v="1"/>
  </r>
  <r>
    <n v="214936311"/>
    <x v="245"/>
    <x v="235"/>
    <x v="0"/>
    <n v="39"/>
    <s v="month"/>
    <x v="11"/>
    <x v="3"/>
    <x v="1"/>
  </r>
  <r>
    <n v="214620392"/>
    <x v="245"/>
    <x v="160"/>
    <x v="0"/>
    <n v="39"/>
    <s v="month"/>
    <x v="94"/>
    <x v="3"/>
    <x v="1"/>
  </r>
  <r>
    <n v="157935884"/>
    <x v="246"/>
    <x v="0"/>
    <x v="0"/>
    <n v="39"/>
    <s v="month"/>
    <x v="0"/>
    <x v="4"/>
    <x v="1"/>
  </r>
  <r>
    <n v="214945706"/>
    <x v="246"/>
    <x v="0"/>
    <x v="0"/>
    <n v="39"/>
    <s v="month"/>
    <x v="0"/>
    <x v="4"/>
    <x v="1"/>
  </r>
  <r>
    <n v="214999374"/>
    <x v="246"/>
    <x v="0"/>
    <x v="0"/>
    <n v="39"/>
    <s v="month"/>
    <x v="0"/>
    <x v="4"/>
    <x v="1"/>
  </r>
  <r>
    <n v="214986467"/>
    <x v="246"/>
    <x v="0"/>
    <x v="0"/>
    <n v="39"/>
    <s v="month"/>
    <x v="0"/>
    <x v="4"/>
    <x v="1"/>
  </r>
  <r>
    <n v="214984741"/>
    <x v="246"/>
    <x v="0"/>
    <x v="0"/>
    <n v="39"/>
    <s v="month"/>
    <x v="0"/>
    <x v="4"/>
    <x v="1"/>
  </r>
  <r>
    <n v="214993166"/>
    <x v="246"/>
    <x v="0"/>
    <x v="0"/>
    <n v="39"/>
    <s v="month"/>
    <x v="0"/>
    <x v="4"/>
    <x v="1"/>
  </r>
  <r>
    <n v="203116697"/>
    <x v="246"/>
    <x v="0"/>
    <x v="0"/>
    <n v="39"/>
    <s v="month"/>
    <x v="0"/>
    <x v="4"/>
    <x v="1"/>
  </r>
  <r>
    <n v="214906741"/>
    <x v="246"/>
    <x v="0"/>
    <x v="0"/>
    <n v="39"/>
    <s v="month"/>
    <x v="0"/>
    <x v="4"/>
    <x v="1"/>
  </r>
  <r>
    <n v="128977818"/>
    <x v="246"/>
    <x v="349"/>
    <x v="0"/>
    <n v="39"/>
    <s v="month"/>
    <x v="147"/>
    <x v="4"/>
    <x v="1"/>
  </r>
  <r>
    <n v="209743418"/>
    <x v="246"/>
    <x v="96"/>
    <x v="0"/>
    <n v="39"/>
    <s v="month"/>
    <x v="1"/>
    <x v="4"/>
    <x v="1"/>
  </r>
  <r>
    <n v="209743418"/>
    <x v="246"/>
    <x v="341"/>
    <x v="0"/>
    <n v="39"/>
    <s v="month"/>
    <x v="94"/>
    <x v="4"/>
    <x v="1"/>
  </r>
  <r>
    <n v="130868671"/>
    <x v="246"/>
    <x v="69"/>
    <x v="0"/>
    <n v="39"/>
    <s v="month"/>
    <x v="14"/>
    <x v="4"/>
    <x v="1"/>
  </r>
  <r>
    <n v="146963394"/>
    <x v="246"/>
    <x v="255"/>
    <x v="0"/>
    <n v="39"/>
    <s v="month"/>
    <x v="110"/>
    <x v="4"/>
    <x v="1"/>
  </r>
  <r>
    <n v="214960770"/>
    <x v="246"/>
    <x v="244"/>
    <x v="0"/>
    <n v="39"/>
    <s v="month"/>
    <x v="109"/>
    <x v="4"/>
    <x v="1"/>
  </r>
  <r>
    <n v="207344872"/>
    <x v="246"/>
    <x v="298"/>
    <x v="0"/>
    <n v="39"/>
    <s v="month"/>
    <x v="35"/>
    <x v="4"/>
    <x v="1"/>
  </r>
  <r>
    <n v="202925989"/>
    <x v="246"/>
    <x v="273"/>
    <x v="0"/>
    <n v="39"/>
    <s v="month"/>
    <x v="87"/>
    <x v="4"/>
    <x v="1"/>
  </r>
  <r>
    <n v="214991976"/>
    <x v="246"/>
    <x v="311"/>
    <x v="0"/>
    <n v="39"/>
    <s v="month"/>
    <x v="19"/>
    <x v="4"/>
    <x v="1"/>
  </r>
  <r>
    <n v="211917633"/>
    <x v="246"/>
    <x v="45"/>
    <x v="0"/>
    <n v="39"/>
    <s v="month"/>
    <x v="118"/>
    <x v="4"/>
    <x v="1"/>
  </r>
  <r>
    <n v="214623264"/>
    <x v="246"/>
    <x v="348"/>
    <x v="0"/>
    <n v="39"/>
    <s v="month"/>
    <x v="39"/>
    <x v="4"/>
    <x v="1"/>
  </r>
  <r>
    <n v="205339362"/>
    <x v="246"/>
    <x v="341"/>
    <x v="0"/>
    <n v="39"/>
    <s v="month"/>
    <x v="94"/>
    <x v="4"/>
    <x v="1"/>
  </r>
  <r>
    <n v="214956352"/>
    <x v="247"/>
    <x v="0"/>
    <x v="0"/>
    <n v="39"/>
    <s v="month"/>
    <x v="0"/>
    <x v="5"/>
    <x v="1"/>
  </r>
  <r>
    <n v="196061402"/>
    <x v="247"/>
    <x v="0"/>
    <x v="0"/>
    <n v="39"/>
    <s v="month"/>
    <x v="0"/>
    <x v="5"/>
    <x v="1"/>
  </r>
  <r>
    <n v="215019022"/>
    <x v="247"/>
    <x v="0"/>
    <x v="0"/>
    <n v="39"/>
    <s v="month"/>
    <x v="0"/>
    <x v="5"/>
    <x v="1"/>
  </r>
  <r>
    <n v="185517087"/>
    <x v="247"/>
    <x v="0"/>
    <x v="0"/>
    <n v="39"/>
    <s v="month"/>
    <x v="0"/>
    <x v="5"/>
    <x v="1"/>
  </r>
  <r>
    <n v="151513254"/>
    <x v="247"/>
    <x v="96"/>
    <x v="0"/>
    <n v="39"/>
    <s v="month"/>
    <x v="11"/>
    <x v="5"/>
    <x v="1"/>
  </r>
  <r>
    <n v="214952558"/>
    <x v="247"/>
    <x v="15"/>
    <x v="1"/>
    <n v="39"/>
    <s v="month"/>
    <x v="1"/>
    <x v="5"/>
    <x v="1"/>
  </r>
  <r>
    <n v="139339380"/>
    <x v="247"/>
    <x v="180"/>
    <x v="0"/>
    <n v="39"/>
    <s v="month"/>
    <x v="57"/>
    <x v="5"/>
    <x v="1"/>
  </r>
  <r>
    <n v="208188866"/>
    <x v="247"/>
    <x v="270"/>
    <x v="0"/>
    <n v="39"/>
    <s v="month"/>
    <x v="28"/>
    <x v="5"/>
    <x v="1"/>
  </r>
  <r>
    <n v="150342446"/>
    <x v="247"/>
    <x v="291"/>
    <x v="0"/>
    <n v="39"/>
    <s v="month"/>
    <x v="87"/>
    <x v="5"/>
    <x v="1"/>
  </r>
  <r>
    <n v="188748372"/>
    <x v="247"/>
    <x v="291"/>
    <x v="0"/>
    <n v="39"/>
    <s v="month"/>
    <x v="87"/>
    <x v="5"/>
    <x v="1"/>
  </r>
  <r>
    <n v="215034356"/>
    <x v="247"/>
    <x v="96"/>
    <x v="0"/>
    <n v="39"/>
    <s v="month"/>
    <x v="11"/>
    <x v="5"/>
    <x v="1"/>
  </r>
  <r>
    <n v="145013444"/>
    <x v="247"/>
    <x v="323"/>
    <x v="0"/>
    <n v="39"/>
    <s v="month"/>
    <x v="40"/>
    <x v="5"/>
    <x v="1"/>
  </r>
  <r>
    <n v="164548755"/>
    <x v="247"/>
    <x v="249"/>
    <x v="0"/>
    <n v="39"/>
    <s v="month"/>
    <x v="39"/>
    <x v="5"/>
    <x v="1"/>
  </r>
  <r>
    <n v="193315330"/>
    <x v="247"/>
    <x v="55"/>
    <x v="0"/>
    <n v="39"/>
    <s v="month"/>
    <x v="106"/>
    <x v="5"/>
    <x v="1"/>
  </r>
  <r>
    <n v="147592201"/>
    <x v="248"/>
    <x v="0"/>
    <x v="0"/>
    <n v="39"/>
    <s v="month"/>
    <x v="0"/>
    <x v="6"/>
    <x v="1"/>
  </r>
  <r>
    <n v="192068317"/>
    <x v="248"/>
    <x v="0"/>
    <x v="0"/>
    <n v="39"/>
    <s v="month"/>
    <x v="0"/>
    <x v="6"/>
    <x v="1"/>
  </r>
  <r>
    <n v="214396083"/>
    <x v="248"/>
    <x v="0"/>
    <x v="0"/>
    <n v="39"/>
    <s v="month"/>
    <x v="0"/>
    <x v="6"/>
    <x v="1"/>
  </r>
  <r>
    <n v="214698924"/>
    <x v="248"/>
    <x v="15"/>
    <x v="0"/>
    <n v="39"/>
    <s v="month"/>
    <x v="11"/>
    <x v="6"/>
    <x v="1"/>
  </r>
  <r>
    <n v="153402484"/>
    <x v="248"/>
    <x v="270"/>
    <x v="0"/>
    <n v="39"/>
    <s v="month"/>
    <x v="35"/>
    <x v="6"/>
    <x v="1"/>
  </r>
  <r>
    <n v="214809412"/>
    <x v="248"/>
    <x v="252"/>
    <x v="0"/>
    <n v="39"/>
    <s v="month"/>
    <x v="53"/>
    <x v="6"/>
    <x v="1"/>
  </r>
  <r>
    <n v="215062365"/>
    <x v="248"/>
    <x v="204"/>
    <x v="0"/>
    <n v="39"/>
    <s v="month"/>
    <x v="93"/>
    <x v="6"/>
    <x v="1"/>
  </r>
  <r>
    <n v="135185873"/>
    <x v="249"/>
    <x v="0"/>
    <x v="0"/>
    <n v="39"/>
    <s v="month"/>
    <x v="0"/>
    <x v="0"/>
    <x v="1"/>
  </r>
  <r>
    <n v="144898968"/>
    <x v="249"/>
    <x v="0"/>
    <x v="0"/>
    <n v="39"/>
    <s v="month"/>
    <x v="0"/>
    <x v="0"/>
    <x v="1"/>
  </r>
  <r>
    <n v="214973231"/>
    <x v="249"/>
    <x v="0"/>
    <x v="0"/>
    <n v="39"/>
    <s v="month"/>
    <x v="0"/>
    <x v="0"/>
    <x v="1"/>
  </r>
  <r>
    <n v="214971897"/>
    <x v="249"/>
    <x v="0"/>
    <x v="0"/>
    <n v="39"/>
    <s v="month"/>
    <x v="0"/>
    <x v="0"/>
    <x v="1"/>
  </r>
  <r>
    <n v="134919488"/>
    <x v="249"/>
    <x v="307"/>
    <x v="0"/>
    <n v="39"/>
    <s v="month"/>
    <x v="138"/>
    <x v="0"/>
    <x v="1"/>
  </r>
  <r>
    <n v="214912916"/>
    <x v="249"/>
    <x v="186"/>
    <x v="0"/>
    <n v="39"/>
    <s v="month"/>
    <x v="28"/>
    <x v="0"/>
    <x v="1"/>
  </r>
  <r>
    <n v="215138344"/>
    <x v="249"/>
    <x v="212"/>
    <x v="0"/>
    <n v="39"/>
    <s v="month"/>
    <x v="2"/>
    <x v="0"/>
    <x v="1"/>
  </r>
  <r>
    <n v="215132378"/>
    <x v="249"/>
    <x v="304"/>
    <x v="0"/>
    <n v="39"/>
    <s v="month"/>
    <x v="9"/>
    <x v="0"/>
    <x v="1"/>
  </r>
  <r>
    <n v="206145911"/>
    <x v="249"/>
    <x v="322"/>
    <x v="0"/>
    <n v="39"/>
    <s v="month"/>
    <x v="11"/>
    <x v="0"/>
    <x v="1"/>
  </r>
  <r>
    <n v="215146368"/>
    <x v="249"/>
    <x v="171"/>
    <x v="0"/>
    <n v="39"/>
    <s v="month"/>
    <x v="63"/>
    <x v="0"/>
    <x v="1"/>
  </r>
  <r>
    <n v="133199506"/>
    <x v="250"/>
    <x v="0"/>
    <x v="0"/>
    <n v="39"/>
    <s v="month"/>
    <x v="0"/>
    <x v="1"/>
    <x v="1"/>
  </r>
  <r>
    <n v="202763494"/>
    <x v="250"/>
    <x v="0"/>
    <x v="0"/>
    <n v="39"/>
    <s v="month"/>
    <x v="0"/>
    <x v="1"/>
    <x v="1"/>
  </r>
  <r>
    <n v="215113205"/>
    <x v="250"/>
    <x v="0"/>
    <x v="0"/>
    <n v="39"/>
    <s v="month"/>
    <x v="0"/>
    <x v="1"/>
    <x v="1"/>
  </r>
  <r>
    <n v="147097108"/>
    <x v="250"/>
    <x v="0"/>
    <x v="0"/>
    <n v="39"/>
    <s v="month"/>
    <x v="0"/>
    <x v="1"/>
    <x v="1"/>
  </r>
  <r>
    <n v="186692270"/>
    <x v="250"/>
    <x v="0"/>
    <x v="0"/>
    <n v="39"/>
    <s v="month"/>
    <x v="0"/>
    <x v="1"/>
    <x v="1"/>
  </r>
  <r>
    <n v="215169444"/>
    <x v="250"/>
    <x v="0"/>
    <x v="0"/>
    <n v="39"/>
    <s v="month"/>
    <x v="0"/>
    <x v="1"/>
    <x v="1"/>
  </r>
  <r>
    <n v="114992353"/>
    <x v="250"/>
    <x v="332"/>
    <x v="0"/>
    <n v="39"/>
    <s v="month"/>
    <x v="166"/>
    <x v="1"/>
    <x v="1"/>
  </r>
  <r>
    <n v="212339137"/>
    <x v="250"/>
    <x v="174"/>
    <x v="0"/>
    <n v="39"/>
    <s v="month"/>
    <x v="1"/>
    <x v="1"/>
    <x v="1"/>
  </r>
  <r>
    <n v="175564124"/>
    <x v="250"/>
    <x v="343"/>
    <x v="0"/>
    <n v="39"/>
    <s v="month"/>
    <x v="182"/>
    <x v="1"/>
    <x v="1"/>
  </r>
  <r>
    <n v="174646950"/>
    <x v="250"/>
    <x v="338"/>
    <x v="0"/>
    <n v="39"/>
    <s v="month"/>
    <x v="87"/>
    <x v="1"/>
    <x v="1"/>
  </r>
  <r>
    <n v="215075697"/>
    <x v="250"/>
    <x v="186"/>
    <x v="0"/>
    <n v="39"/>
    <s v="month"/>
    <x v="35"/>
    <x v="1"/>
    <x v="1"/>
  </r>
  <r>
    <n v="215149530"/>
    <x v="250"/>
    <x v="187"/>
    <x v="0"/>
    <n v="39"/>
    <s v="month"/>
    <x v="78"/>
    <x v="1"/>
    <x v="1"/>
  </r>
  <r>
    <n v="215226464"/>
    <x v="251"/>
    <x v="0"/>
    <x v="0"/>
    <n v="39"/>
    <s v="month"/>
    <x v="0"/>
    <x v="2"/>
    <x v="1"/>
  </r>
  <r>
    <n v="215221354"/>
    <x v="251"/>
    <x v="0"/>
    <x v="0"/>
    <n v="39"/>
    <s v="month"/>
    <x v="0"/>
    <x v="2"/>
    <x v="1"/>
  </r>
  <r>
    <n v="215031638"/>
    <x v="251"/>
    <x v="0"/>
    <x v="0"/>
    <n v="39"/>
    <s v="month"/>
    <x v="0"/>
    <x v="2"/>
    <x v="1"/>
  </r>
  <r>
    <n v="182019861"/>
    <x v="252"/>
    <x v="0"/>
    <x v="0"/>
    <n v="39"/>
    <s v="month"/>
    <x v="0"/>
    <x v="3"/>
    <x v="1"/>
  </r>
  <r>
    <n v="210072231"/>
    <x v="252"/>
    <x v="0"/>
    <x v="0"/>
    <n v="39"/>
    <s v="month"/>
    <x v="0"/>
    <x v="3"/>
    <x v="1"/>
  </r>
  <r>
    <n v="127328847"/>
    <x v="252"/>
    <x v="237"/>
    <x v="0"/>
    <n v="39"/>
    <s v="month"/>
    <x v="1"/>
    <x v="3"/>
    <x v="1"/>
  </r>
  <r>
    <n v="155566052"/>
    <x v="252"/>
    <x v="303"/>
    <x v="0"/>
    <n v="39"/>
    <s v="month"/>
    <x v="72"/>
    <x v="3"/>
    <x v="1"/>
  </r>
  <r>
    <n v="151513254"/>
    <x v="252"/>
    <x v="177"/>
    <x v="0"/>
    <n v="39"/>
    <s v="month"/>
    <x v="14"/>
    <x v="3"/>
    <x v="1"/>
  </r>
  <r>
    <n v="152236400"/>
    <x v="252"/>
    <x v="241"/>
    <x v="0"/>
    <n v="39"/>
    <s v="month"/>
    <x v="95"/>
    <x v="3"/>
    <x v="1"/>
  </r>
  <r>
    <n v="215030324"/>
    <x v="252"/>
    <x v="332"/>
    <x v="0"/>
    <n v="39"/>
    <s v="month"/>
    <x v="77"/>
    <x v="3"/>
    <x v="1"/>
  </r>
  <r>
    <n v="206087650"/>
    <x v="252"/>
    <x v="350"/>
    <x v="0"/>
    <n v="39"/>
    <s v="month"/>
    <x v="39"/>
    <x v="3"/>
    <x v="1"/>
  </r>
  <r>
    <n v="136252657"/>
    <x v="253"/>
    <x v="209"/>
    <x v="0"/>
    <n v="39"/>
    <s v="month"/>
    <x v="187"/>
    <x v="4"/>
    <x v="1"/>
  </r>
  <r>
    <n v="134753801"/>
    <x v="253"/>
    <x v="315"/>
    <x v="0"/>
    <n v="39"/>
    <s v="month"/>
    <x v="27"/>
    <x v="4"/>
    <x v="1"/>
  </r>
  <r>
    <n v="155245092"/>
    <x v="253"/>
    <x v="291"/>
    <x v="0"/>
    <n v="39"/>
    <s v="month"/>
    <x v="50"/>
    <x v="4"/>
    <x v="1"/>
  </r>
  <r>
    <n v="214905500"/>
    <x v="253"/>
    <x v="313"/>
    <x v="0"/>
    <n v="39"/>
    <s v="month"/>
    <x v="106"/>
    <x v="4"/>
    <x v="1"/>
  </r>
  <r>
    <n v="215152504"/>
    <x v="254"/>
    <x v="0"/>
    <x v="0"/>
    <n v="39"/>
    <s v="month"/>
    <x v="0"/>
    <x v="5"/>
    <x v="1"/>
  </r>
  <r>
    <n v="215336639"/>
    <x v="254"/>
    <x v="0"/>
    <x v="0"/>
    <n v="39"/>
    <s v="month"/>
    <x v="0"/>
    <x v="5"/>
    <x v="1"/>
  </r>
  <r>
    <n v="215220026"/>
    <x v="254"/>
    <x v="0"/>
    <x v="0"/>
    <n v="39"/>
    <s v="month"/>
    <x v="0"/>
    <x v="5"/>
    <x v="1"/>
  </r>
  <r>
    <n v="202395800"/>
    <x v="254"/>
    <x v="0"/>
    <x v="0"/>
    <n v="39"/>
    <s v="month"/>
    <x v="0"/>
    <x v="5"/>
    <x v="1"/>
  </r>
  <r>
    <n v="215289431"/>
    <x v="254"/>
    <x v="313"/>
    <x v="0"/>
    <n v="39"/>
    <s v="month"/>
    <x v="12"/>
    <x v="5"/>
    <x v="1"/>
  </r>
  <r>
    <n v="182102820"/>
    <x v="254"/>
    <x v="258"/>
    <x v="0"/>
    <n v="39"/>
    <s v="month"/>
    <x v="1"/>
    <x v="5"/>
    <x v="1"/>
  </r>
  <r>
    <n v="215322558"/>
    <x v="254"/>
    <x v="147"/>
    <x v="0"/>
    <n v="39"/>
    <s v="month"/>
    <x v="87"/>
    <x v="5"/>
    <x v="1"/>
  </r>
  <r>
    <n v="215347417"/>
    <x v="254"/>
    <x v="45"/>
    <x v="0"/>
    <n v="39"/>
    <s v="month"/>
    <x v="173"/>
    <x v="5"/>
    <x v="1"/>
  </r>
  <r>
    <n v="215203944"/>
    <x v="254"/>
    <x v="279"/>
    <x v="0"/>
    <n v="39"/>
    <s v="month"/>
    <x v="109"/>
    <x v="5"/>
    <x v="1"/>
  </r>
  <r>
    <n v="215350747"/>
    <x v="254"/>
    <x v="204"/>
    <x v="0"/>
    <n v="39"/>
    <s v="month"/>
    <x v="132"/>
    <x v="5"/>
    <x v="1"/>
  </r>
  <r>
    <n v="215254830"/>
    <x v="254"/>
    <x v="305"/>
    <x v="0"/>
    <n v="39"/>
    <s v="month"/>
    <x v="234"/>
    <x v="5"/>
    <x v="1"/>
  </r>
  <r>
    <n v="192908537"/>
    <x v="254"/>
    <x v="291"/>
    <x v="0"/>
    <n v="39"/>
    <s v="month"/>
    <x v="28"/>
    <x v="5"/>
    <x v="1"/>
  </r>
  <r>
    <n v="123007965"/>
    <x v="255"/>
    <x v="0"/>
    <x v="0"/>
    <n v="39"/>
    <s v="month"/>
    <x v="0"/>
    <x v="6"/>
    <x v="1"/>
  </r>
  <r>
    <n v="151711223"/>
    <x v="255"/>
    <x v="0"/>
    <x v="0"/>
    <n v="39"/>
    <s v="month"/>
    <x v="0"/>
    <x v="6"/>
    <x v="1"/>
  </r>
  <r>
    <n v="130751382"/>
    <x v="255"/>
    <x v="0"/>
    <x v="0"/>
    <n v="39"/>
    <s v="month"/>
    <x v="0"/>
    <x v="6"/>
    <x v="1"/>
  </r>
  <r>
    <n v="126037254"/>
    <x v="255"/>
    <x v="0"/>
    <x v="0"/>
    <n v="39"/>
    <s v="month"/>
    <x v="0"/>
    <x v="6"/>
    <x v="1"/>
  </r>
  <r>
    <n v="133469770"/>
    <x v="255"/>
    <x v="0"/>
    <x v="0"/>
    <n v="39"/>
    <s v="month"/>
    <x v="0"/>
    <x v="6"/>
    <x v="1"/>
  </r>
  <r>
    <n v="133565657"/>
    <x v="255"/>
    <x v="195"/>
    <x v="0"/>
    <n v="39"/>
    <s v="month"/>
    <x v="93"/>
    <x v="6"/>
    <x v="1"/>
  </r>
  <r>
    <n v="215307979"/>
    <x v="255"/>
    <x v="345"/>
    <x v="0"/>
    <n v="39"/>
    <s v="month"/>
    <x v="87"/>
    <x v="6"/>
    <x v="1"/>
  </r>
  <r>
    <n v="174289942"/>
    <x v="255"/>
    <x v="350"/>
    <x v="0"/>
    <n v="39"/>
    <s v="month"/>
    <x v="197"/>
    <x v="6"/>
    <x v="1"/>
  </r>
  <r>
    <n v="215366550"/>
    <x v="255"/>
    <x v="222"/>
    <x v="0"/>
    <n v="39"/>
    <s v="month"/>
    <x v="83"/>
    <x v="6"/>
    <x v="1"/>
  </r>
  <r>
    <n v="210361390"/>
    <x v="256"/>
    <x v="0"/>
    <x v="0"/>
    <n v="39"/>
    <s v="month"/>
    <x v="0"/>
    <x v="0"/>
    <x v="1"/>
  </r>
  <r>
    <n v="120738319"/>
    <x v="256"/>
    <x v="0"/>
    <x v="0"/>
    <n v="39"/>
    <s v="month"/>
    <x v="0"/>
    <x v="0"/>
    <x v="1"/>
  </r>
  <r>
    <n v="214122861"/>
    <x v="256"/>
    <x v="0"/>
    <x v="0"/>
    <n v="39"/>
    <s v="month"/>
    <x v="0"/>
    <x v="0"/>
    <x v="1"/>
  </r>
  <r>
    <n v="214793162"/>
    <x v="256"/>
    <x v="0"/>
    <x v="0"/>
    <n v="39"/>
    <s v="month"/>
    <x v="0"/>
    <x v="0"/>
    <x v="1"/>
  </r>
  <r>
    <n v="215420480"/>
    <x v="256"/>
    <x v="349"/>
    <x v="0"/>
    <n v="39"/>
    <s v="month"/>
    <x v="65"/>
    <x v="0"/>
    <x v="1"/>
  </r>
  <r>
    <n v="215415792"/>
    <x v="256"/>
    <x v="171"/>
    <x v="1"/>
    <n v="39"/>
    <s v="month"/>
    <x v="1"/>
    <x v="0"/>
    <x v="1"/>
  </r>
  <r>
    <n v="152705871"/>
    <x v="256"/>
    <x v="45"/>
    <x v="0"/>
    <n v="39"/>
    <s v="month"/>
    <x v="42"/>
    <x v="0"/>
    <x v="1"/>
  </r>
  <r>
    <n v="168265029"/>
    <x v="256"/>
    <x v="285"/>
    <x v="0"/>
    <n v="39"/>
    <s v="month"/>
    <x v="214"/>
    <x v="0"/>
    <x v="1"/>
  </r>
  <r>
    <n v="215428908"/>
    <x v="256"/>
    <x v="338"/>
    <x v="0"/>
    <n v="39"/>
    <s v="month"/>
    <x v="50"/>
    <x v="0"/>
    <x v="1"/>
  </r>
  <r>
    <n v="215189952"/>
    <x v="256"/>
    <x v="3"/>
    <x v="0"/>
    <n v="39"/>
    <s v="month"/>
    <x v="190"/>
    <x v="0"/>
    <x v="1"/>
  </r>
  <r>
    <n v="208168256"/>
    <x v="256"/>
    <x v="180"/>
    <x v="0"/>
    <n v="39"/>
    <s v="month"/>
    <x v="28"/>
    <x v="0"/>
    <x v="1"/>
  </r>
  <r>
    <n v="163193072"/>
    <x v="257"/>
    <x v="0"/>
    <x v="0"/>
    <n v="39"/>
    <s v="month"/>
    <x v="0"/>
    <x v="1"/>
    <x v="1"/>
  </r>
  <r>
    <n v="153449481"/>
    <x v="257"/>
    <x v="126"/>
    <x v="0"/>
    <n v="39"/>
    <s v="month"/>
    <x v="1"/>
    <x v="1"/>
    <x v="1"/>
  </r>
  <r>
    <n v="215384745"/>
    <x v="257"/>
    <x v="180"/>
    <x v="0"/>
    <n v="39"/>
    <s v="month"/>
    <x v="35"/>
    <x v="1"/>
    <x v="1"/>
  </r>
  <r>
    <n v="160904253"/>
    <x v="257"/>
    <x v="321"/>
    <x v="0"/>
    <n v="39"/>
    <s v="month"/>
    <x v="87"/>
    <x v="1"/>
    <x v="1"/>
  </r>
  <r>
    <n v="215476119"/>
    <x v="257"/>
    <x v="321"/>
    <x v="0"/>
    <n v="39"/>
    <s v="month"/>
    <x v="87"/>
    <x v="1"/>
    <x v="1"/>
  </r>
  <r>
    <n v="214624328"/>
    <x v="257"/>
    <x v="69"/>
    <x v="0"/>
    <n v="39"/>
    <s v="month"/>
    <x v="20"/>
    <x v="1"/>
    <x v="1"/>
  </r>
  <r>
    <n v="215463105"/>
    <x v="257"/>
    <x v="267"/>
    <x v="0"/>
    <n v="39"/>
    <s v="month"/>
    <x v="63"/>
    <x v="1"/>
    <x v="1"/>
  </r>
  <r>
    <n v="187368519"/>
    <x v="257"/>
    <x v="262"/>
    <x v="0"/>
    <n v="39"/>
    <s v="month"/>
    <x v="106"/>
    <x v="1"/>
    <x v="1"/>
  </r>
  <r>
    <n v="206139986"/>
    <x v="257"/>
    <x v="314"/>
    <x v="0"/>
    <n v="39"/>
    <s v="month"/>
    <x v="8"/>
    <x v="1"/>
    <x v="1"/>
  </r>
  <r>
    <n v="215473481"/>
    <x v="257"/>
    <x v="346"/>
    <x v="0"/>
    <n v="39"/>
    <s v="month"/>
    <x v="109"/>
    <x v="1"/>
    <x v="1"/>
  </r>
  <r>
    <n v="214967111"/>
    <x v="258"/>
    <x v="0"/>
    <x v="0"/>
    <n v="39"/>
    <s v="month"/>
    <x v="0"/>
    <x v="2"/>
    <x v="1"/>
  </r>
  <r>
    <n v="215472324"/>
    <x v="258"/>
    <x v="293"/>
    <x v="0"/>
    <n v="39"/>
    <s v="month"/>
    <x v="87"/>
    <x v="2"/>
    <x v="1"/>
  </r>
  <r>
    <n v="146557284"/>
    <x v="258"/>
    <x v="173"/>
    <x v="0"/>
    <n v="39"/>
    <s v="month"/>
    <x v="50"/>
    <x v="2"/>
    <x v="1"/>
  </r>
  <r>
    <n v="215486098"/>
    <x v="259"/>
    <x v="0"/>
    <x v="0"/>
    <n v="39"/>
    <s v="month"/>
    <x v="0"/>
    <x v="3"/>
    <x v="1"/>
  </r>
  <r>
    <n v="119436804"/>
    <x v="259"/>
    <x v="0"/>
    <x v="0"/>
    <n v="39"/>
    <s v="month"/>
    <x v="0"/>
    <x v="3"/>
    <x v="1"/>
  </r>
  <r>
    <n v="127100688"/>
    <x v="259"/>
    <x v="288"/>
    <x v="0"/>
    <n v="39"/>
    <s v="month"/>
    <x v="1"/>
    <x v="3"/>
    <x v="1"/>
  </r>
  <r>
    <n v="134524378"/>
    <x v="259"/>
    <x v="288"/>
    <x v="0"/>
    <n v="39"/>
    <s v="month"/>
    <x v="1"/>
    <x v="3"/>
    <x v="1"/>
  </r>
  <r>
    <n v="134652589"/>
    <x v="259"/>
    <x v="326"/>
    <x v="0"/>
    <n v="39"/>
    <s v="month"/>
    <x v="11"/>
    <x v="3"/>
    <x v="1"/>
  </r>
  <r>
    <n v="214134251"/>
    <x v="259"/>
    <x v="288"/>
    <x v="1"/>
    <n v="39"/>
    <s v="month"/>
    <x v="1"/>
    <x v="3"/>
    <x v="1"/>
  </r>
  <r>
    <n v="215565049"/>
    <x v="259"/>
    <x v="326"/>
    <x v="0"/>
    <n v="39"/>
    <s v="month"/>
    <x v="11"/>
    <x v="3"/>
    <x v="1"/>
  </r>
  <r>
    <n v="215606026"/>
    <x v="259"/>
    <x v="240"/>
    <x v="0"/>
    <n v="39"/>
    <s v="month"/>
    <x v="8"/>
    <x v="3"/>
    <x v="1"/>
  </r>
  <r>
    <n v="215678881"/>
    <x v="260"/>
    <x v="0"/>
    <x v="0"/>
    <n v="39"/>
    <s v="month"/>
    <x v="0"/>
    <x v="4"/>
    <x v="1"/>
  </r>
  <r>
    <n v="212356610"/>
    <x v="260"/>
    <x v="0"/>
    <x v="0"/>
    <n v="39"/>
    <s v="month"/>
    <x v="0"/>
    <x v="4"/>
    <x v="1"/>
  </r>
  <r>
    <n v="215336118"/>
    <x v="260"/>
    <x v="0"/>
    <x v="0"/>
    <n v="39"/>
    <s v="month"/>
    <x v="0"/>
    <x v="4"/>
    <x v="1"/>
  </r>
  <r>
    <n v="215664306"/>
    <x v="260"/>
    <x v="0"/>
    <x v="0"/>
    <n v="39"/>
    <s v="month"/>
    <x v="0"/>
    <x v="4"/>
    <x v="1"/>
  </r>
  <r>
    <n v="215643802"/>
    <x v="260"/>
    <x v="0"/>
    <x v="0"/>
    <n v="39"/>
    <s v="month"/>
    <x v="0"/>
    <x v="4"/>
    <x v="1"/>
  </r>
  <r>
    <n v="206177720"/>
    <x v="260"/>
    <x v="309"/>
    <x v="1"/>
    <n v="39"/>
    <s v="month"/>
    <x v="1"/>
    <x v="4"/>
    <x v="1"/>
  </r>
  <r>
    <n v="215691994"/>
    <x v="260"/>
    <x v="190"/>
    <x v="0"/>
    <n v="39"/>
    <s v="month"/>
    <x v="53"/>
    <x v="4"/>
    <x v="1"/>
  </r>
  <r>
    <n v="215653406"/>
    <x v="261"/>
    <x v="0"/>
    <x v="0"/>
    <n v="39"/>
    <s v="month"/>
    <x v="0"/>
    <x v="5"/>
    <x v="1"/>
  </r>
  <r>
    <n v="215534470"/>
    <x v="261"/>
    <x v="330"/>
    <x v="0"/>
    <n v="39"/>
    <s v="month"/>
    <x v="1"/>
    <x v="5"/>
    <x v="1"/>
  </r>
  <r>
    <n v="150751482"/>
    <x v="261"/>
    <x v="240"/>
    <x v="0"/>
    <n v="39"/>
    <s v="month"/>
    <x v="27"/>
    <x v="5"/>
    <x v="1"/>
  </r>
  <r>
    <n v="208601341"/>
    <x v="261"/>
    <x v="341"/>
    <x v="0"/>
    <n v="39"/>
    <s v="month"/>
    <x v="192"/>
    <x v="5"/>
    <x v="1"/>
  </r>
  <r>
    <n v="215473479"/>
    <x v="261"/>
    <x v="321"/>
    <x v="0"/>
    <n v="39"/>
    <s v="month"/>
    <x v="36"/>
    <x v="5"/>
    <x v="1"/>
  </r>
  <r>
    <n v="215646044"/>
    <x v="261"/>
    <x v="173"/>
    <x v="0"/>
    <n v="39"/>
    <s v="month"/>
    <x v="72"/>
    <x v="5"/>
    <x v="1"/>
  </r>
  <r>
    <n v="215686983"/>
    <x v="261"/>
    <x v="321"/>
    <x v="0"/>
    <n v="39"/>
    <s v="month"/>
    <x v="36"/>
    <x v="5"/>
    <x v="1"/>
  </r>
  <r>
    <n v="215704655"/>
    <x v="262"/>
    <x v="0"/>
    <x v="0"/>
    <n v="39"/>
    <s v="month"/>
    <x v="0"/>
    <x v="6"/>
    <x v="1"/>
  </r>
  <r>
    <n v="131984682"/>
    <x v="262"/>
    <x v="325"/>
    <x v="0"/>
    <n v="39"/>
    <s v="month"/>
    <x v="192"/>
    <x v="6"/>
    <x v="1"/>
  </r>
  <r>
    <n v="214698924"/>
    <x v="262"/>
    <x v="293"/>
    <x v="0"/>
    <n v="39"/>
    <s v="month"/>
    <x v="36"/>
    <x v="6"/>
    <x v="1"/>
  </r>
  <r>
    <n v="183886863"/>
    <x v="262"/>
    <x v="330"/>
    <x v="0"/>
    <n v="39"/>
    <s v="month"/>
    <x v="11"/>
    <x v="6"/>
    <x v="1"/>
  </r>
  <r>
    <n v="215869320"/>
    <x v="263"/>
    <x v="0"/>
    <x v="0"/>
    <n v="39"/>
    <s v="month"/>
    <x v="0"/>
    <x v="0"/>
    <x v="1"/>
  </r>
  <r>
    <n v="215616284"/>
    <x v="263"/>
    <x v="0"/>
    <x v="0"/>
    <n v="39"/>
    <s v="month"/>
    <x v="0"/>
    <x v="0"/>
    <x v="1"/>
  </r>
  <r>
    <n v="215896078"/>
    <x v="263"/>
    <x v="0"/>
    <x v="0"/>
    <n v="39"/>
    <s v="month"/>
    <x v="0"/>
    <x v="0"/>
    <x v="1"/>
  </r>
  <r>
    <n v="215910170"/>
    <x v="263"/>
    <x v="0"/>
    <x v="0"/>
    <n v="39"/>
    <s v="month"/>
    <x v="0"/>
    <x v="0"/>
    <x v="1"/>
  </r>
  <r>
    <n v="211754109"/>
    <x v="263"/>
    <x v="324"/>
    <x v="1"/>
    <n v="39"/>
    <s v="month"/>
    <x v="1"/>
    <x v="0"/>
    <x v="1"/>
  </r>
  <r>
    <n v="205682690"/>
    <x v="263"/>
    <x v="324"/>
    <x v="0"/>
    <n v="39"/>
    <s v="month"/>
    <x v="1"/>
    <x v="0"/>
    <x v="1"/>
  </r>
  <r>
    <n v="151412112"/>
    <x v="263"/>
    <x v="338"/>
    <x v="0"/>
    <n v="39"/>
    <s v="month"/>
    <x v="9"/>
    <x v="0"/>
    <x v="1"/>
  </r>
  <r>
    <n v="154467458"/>
    <x v="263"/>
    <x v="3"/>
    <x v="0"/>
    <n v="39"/>
    <s v="month"/>
    <x v="167"/>
    <x v="0"/>
    <x v="1"/>
  </r>
  <r>
    <n v="212339137"/>
    <x v="263"/>
    <x v="135"/>
    <x v="0"/>
    <n v="39"/>
    <s v="month"/>
    <x v="87"/>
    <x v="0"/>
    <x v="1"/>
  </r>
  <r>
    <n v="215894271"/>
    <x v="263"/>
    <x v="273"/>
    <x v="0"/>
    <n v="39"/>
    <s v="month"/>
    <x v="86"/>
    <x v="0"/>
    <x v="1"/>
  </r>
  <r>
    <n v="215908442"/>
    <x v="263"/>
    <x v="351"/>
    <x v="0"/>
    <n v="39"/>
    <s v="month"/>
    <x v="46"/>
    <x v="0"/>
    <x v="1"/>
  </r>
  <r>
    <n v="136032360"/>
    <x v="263"/>
    <x v="333"/>
    <x v="0"/>
    <n v="39"/>
    <s v="month"/>
    <x v="77"/>
    <x v="0"/>
    <x v="1"/>
  </r>
  <r>
    <n v="215956542"/>
    <x v="264"/>
    <x v="0"/>
    <x v="0"/>
    <n v="39"/>
    <s v="month"/>
    <x v="0"/>
    <x v="1"/>
    <x v="1"/>
  </r>
  <r>
    <n v="215947247"/>
    <x v="264"/>
    <x v="0"/>
    <x v="0"/>
    <n v="39"/>
    <s v="month"/>
    <x v="0"/>
    <x v="1"/>
    <x v="1"/>
  </r>
  <r>
    <n v="122830574"/>
    <x v="264"/>
    <x v="0"/>
    <x v="0"/>
    <n v="39"/>
    <s v="month"/>
    <x v="0"/>
    <x v="1"/>
    <x v="1"/>
  </r>
  <r>
    <n v="206904025"/>
    <x v="264"/>
    <x v="267"/>
    <x v="1"/>
    <n v="39"/>
    <s v="month"/>
    <x v="1"/>
    <x v="1"/>
    <x v="1"/>
  </r>
  <r>
    <n v="153396366"/>
    <x v="264"/>
    <x v="293"/>
    <x v="0"/>
    <n v="39"/>
    <s v="month"/>
    <x v="50"/>
    <x v="1"/>
    <x v="1"/>
  </r>
  <r>
    <n v="200304509"/>
    <x v="264"/>
    <x v="306"/>
    <x v="0"/>
    <n v="39"/>
    <s v="month"/>
    <x v="2"/>
    <x v="1"/>
    <x v="1"/>
  </r>
  <r>
    <n v="215867874"/>
    <x v="264"/>
    <x v="180"/>
    <x v="0"/>
    <n v="39"/>
    <s v="month"/>
    <x v="182"/>
    <x v="1"/>
    <x v="1"/>
  </r>
  <r>
    <n v="215869887"/>
    <x v="264"/>
    <x v="186"/>
    <x v="0"/>
    <n v="39"/>
    <s v="month"/>
    <x v="178"/>
    <x v="1"/>
    <x v="1"/>
  </r>
  <r>
    <n v="134652589"/>
    <x v="264"/>
    <x v="157"/>
    <x v="0"/>
    <n v="39"/>
    <s v="month"/>
    <x v="134"/>
    <x v="1"/>
    <x v="1"/>
  </r>
  <r>
    <n v="215759517"/>
    <x v="264"/>
    <x v="352"/>
    <x v="0"/>
    <n v="39"/>
    <s v="month"/>
    <x v="106"/>
    <x v="1"/>
    <x v="1"/>
  </r>
  <r>
    <n v="152004313"/>
    <x v="264"/>
    <x v="255"/>
    <x v="0"/>
    <n v="39"/>
    <s v="month"/>
    <x v="179"/>
    <x v="1"/>
    <x v="1"/>
  </r>
  <r>
    <n v="215931788"/>
    <x v="264"/>
    <x v="293"/>
    <x v="0"/>
    <n v="39"/>
    <s v="month"/>
    <x v="50"/>
    <x v="1"/>
    <x v="1"/>
  </r>
  <r>
    <n v="215792692"/>
    <x v="264"/>
    <x v="344"/>
    <x v="0"/>
    <n v="39"/>
    <s v="month"/>
    <x v="8"/>
    <x v="1"/>
    <x v="1"/>
  </r>
  <r>
    <n v="205507364"/>
    <x v="264"/>
    <x v="353"/>
    <x v="0"/>
    <n v="39"/>
    <s v="month"/>
    <x v="94"/>
    <x v="1"/>
    <x v="1"/>
  </r>
  <r>
    <n v="130016916"/>
    <x v="264"/>
    <x v="353"/>
    <x v="0"/>
    <n v="39"/>
    <s v="month"/>
    <x v="94"/>
    <x v="1"/>
    <x v="1"/>
  </r>
  <r>
    <n v="174991614"/>
    <x v="265"/>
    <x v="0"/>
    <x v="0"/>
    <n v="39"/>
    <s v="month"/>
    <x v="0"/>
    <x v="2"/>
    <x v="1"/>
  </r>
  <r>
    <n v="118197872"/>
    <x v="265"/>
    <x v="0"/>
    <x v="0"/>
    <n v="39"/>
    <s v="month"/>
    <x v="0"/>
    <x v="2"/>
    <x v="1"/>
  </r>
  <r>
    <n v="215906516"/>
    <x v="265"/>
    <x v="0"/>
    <x v="0"/>
    <n v="39"/>
    <s v="month"/>
    <x v="0"/>
    <x v="2"/>
    <x v="1"/>
  </r>
  <r>
    <n v="116197941"/>
    <x v="265"/>
    <x v="204"/>
    <x v="0"/>
    <n v="39"/>
    <s v="month"/>
    <x v="39"/>
    <x v="2"/>
    <x v="1"/>
  </r>
  <r>
    <n v="215973039"/>
    <x v="265"/>
    <x v="127"/>
    <x v="0"/>
    <n v="39"/>
    <s v="month"/>
    <x v="42"/>
    <x v="2"/>
    <x v="1"/>
  </r>
  <r>
    <n v="147761700"/>
    <x v="265"/>
    <x v="308"/>
    <x v="0"/>
    <n v="39"/>
    <s v="month"/>
    <x v="71"/>
    <x v="2"/>
    <x v="1"/>
  </r>
  <r>
    <n v="215943650"/>
    <x v="265"/>
    <x v="255"/>
    <x v="0"/>
    <n v="39"/>
    <s v="month"/>
    <x v="87"/>
    <x v="2"/>
    <x v="1"/>
  </r>
  <r>
    <n v="157259062"/>
    <x v="265"/>
    <x v="255"/>
    <x v="0"/>
    <n v="39"/>
    <s v="month"/>
    <x v="87"/>
    <x v="2"/>
    <x v="1"/>
  </r>
  <r>
    <n v="216001506"/>
    <x v="265"/>
    <x v="353"/>
    <x v="0"/>
    <n v="39"/>
    <s v="month"/>
    <x v="8"/>
    <x v="2"/>
    <x v="1"/>
  </r>
  <r>
    <n v="199306900"/>
    <x v="265"/>
    <x v="302"/>
    <x v="0"/>
    <n v="39"/>
    <s v="month"/>
    <x v="106"/>
    <x v="2"/>
    <x v="1"/>
  </r>
  <r>
    <n v="156245288"/>
    <x v="266"/>
    <x v="0"/>
    <x v="0"/>
    <n v="39"/>
    <s v="month"/>
    <x v="0"/>
    <x v="3"/>
    <x v="1"/>
  </r>
  <r>
    <n v="211904765"/>
    <x v="266"/>
    <x v="0"/>
    <x v="0"/>
    <n v="39"/>
    <s v="month"/>
    <x v="0"/>
    <x v="3"/>
    <x v="1"/>
  </r>
  <r>
    <n v="215832805"/>
    <x v="266"/>
    <x v="0"/>
    <x v="0"/>
    <n v="39"/>
    <s v="month"/>
    <x v="0"/>
    <x v="3"/>
    <x v="1"/>
  </r>
  <r>
    <n v="156403612"/>
    <x v="267"/>
    <x v="0"/>
    <x v="0"/>
    <n v="39"/>
    <s v="month"/>
    <x v="0"/>
    <x v="4"/>
    <x v="1"/>
  </r>
  <r>
    <n v="216062001"/>
    <x v="267"/>
    <x v="0"/>
    <x v="0"/>
    <n v="39"/>
    <s v="month"/>
    <x v="0"/>
    <x v="4"/>
    <x v="1"/>
  </r>
  <r>
    <n v="216083936"/>
    <x v="267"/>
    <x v="0"/>
    <x v="0"/>
    <n v="39"/>
    <s v="month"/>
    <x v="0"/>
    <x v="4"/>
    <x v="1"/>
  </r>
  <r>
    <n v="215568210"/>
    <x v="267"/>
    <x v="331"/>
    <x v="0"/>
    <n v="39"/>
    <s v="month"/>
    <x v="53"/>
    <x v="4"/>
    <x v="1"/>
  </r>
  <r>
    <n v="181480437"/>
    <x v="267"/>
    <x v="244"/>
    <x v="0"/>
    <n v="39"/>
    <s v="month"/>
    <x v="167"/>
    <x v="4"/>
    <x v="1"/>
  </r>
  <r>
    <n v="147197398"/>
    <x v="268"/>
    <x v="0"/>
    <x v="0"/>
    <n v="39"/>
    <s v="month"/>
    <x v="0"/>
    <x v="5"/>
    <x v="1"/>
  </r>
  <r>
    <n v="212051648"/>
    <x v="268"/>
    <x v="0"/>
    <x v="0"/>
    <n v="39"/>
    <s v="month"/>
    <x v="0"/>
    <x v="5"/>
    <x v="1"/>
  </r>
  <r>
    <n v="216141502"/>
    <x v="268"/>
    <x v="0"/>
    <x v="0"/>
    <n v="39"/>
    <s v="month"/>
    <x v="0"/>
    <x v="5"/>
    <x v="1"/>
  </r>
  <r>
    <n v="216136975"/>
    <x v="268"/>
    <x v="0"/>
    <x v="0"/>
    <n v="39"/>
    <s v="month"/>
    <x v="0"/>
    <x v="5"/>
    <x v="1"/>
  </r>
  <r>
    <n v="213240907"/>
    <x v="268"/>
    <x v="0"/>
    <x v="0"/>
    <n v="39"/>
    <s v="month"/>
    <x v="0"/>
    <x v="5"/>
    <x v="1"/>
  </r>
  <r>
    <n v="204739496"/>
    <x v="268"/>
    <x v="302"/>
    <x v="0"/>
    <n v="39"/>
    <s v="month"/>
    <x v="126"/>
    <x v="5"/>
    <x v="1"/>
  </r>
  <r>
    <n v="203366396"/>
    <x v="268"/>
    <x v="285"/>
    <x v="0"/>
    <n v="39"/>
    <s v="month"/>
    <x v="1"/>
    <x v="5"/>
    <x v="1"/>
  </r>
  <r>
    <n v="216136446"/>
    <x v="268"/>
    <x v="99"/>
    <x v="0"/>
    <n v="39"/>
    <s v="month"/>
    <x v="72"/>
    <x v="5"/>
    <x v="1"/>
  </r>
  <r>
    <n v="216139586"/>
    <x v="268"/>
    <x v="187"/>
    <x v="0"/>
    <n v="39"/>
    <s v="month"/>
    <x v="28"/>
    <x v="5"/>
    <x v="1"/>
  </r>
  <r>
    <n v="216126416"/>
    <x v="268"/>
    <x v="343"/>
    <x v="0"/>
    <n v="39"/>
    <s v="month"/>
    <x v="225"/>
    <x v="5"/>
    <x v="1"/>
  </r>
  <r>
    <n v="216181144"/>
    <x v="268"/>
    <x v="160"/>
    <x v="0"/>
    <n v="39"/>
    <s v="month"/>
    <x v="87"/>
    <x v="5"/>
    <x v="1"/>
  </r>
  <r>
    <n v="216100714"/>
    <x v="268"/>
    <x v="305"/>
    <x v="0"/>
    <n v="39"/>
    <s v="month"/>
    <x v="70"/>
    <x v="5"/>
    <x v="1"/>
  </r>
  <r>
    <n v="216155144"/>
    <x v="268"/>
    <x v="354"/>
    <x v="0"/>
    <n v="39"/>
    <s v="month"/>
    <x v="94"/>
    <x v="5"/>
    <x v="1"/>
  </r>
  <r>
    <n v="190978347"/>
    <x v="268"/>
    <x v="98"/>
    <x v="0"/>
    <n v="39"/>
    <s v="month"/>
    <x v="144"/>
    <x v="5"/>
    <x v="1"/>
  </r>
  <r>
    <n v="215653713"/>
    <x v="268"/>
    <x v="279"/>
    <x v="0"/>
    <n v="39"/>
    <s v="month"/>
    <x v="190"/>
    <x v="5"/>
    <x v="1"/>
  </r>
  <r>
    <n v="215185569"/>
    <x v="268"/>
    <x v="355"/>
    <x v="0"/>
    <n v="39"/>
    <s v="month"/>
    <x v="53"/>
    <x v="5"/>
    <x v="1"/>
  </r>
  <r>
    <n v="215488799"/>
    <x v="269"/>
    <x v="0"/>
    <x v="0"/>
    <n v="39"/>
    <s v="month"/>
    <x v="0"/>
    <x v="6"/>
    <x v="1"/>
  </r>
  <r>
    <n v="216170130"/>
    <x v="269"/>
    <x v="0"/>
    <x v="0"/>
    <n v="39"/>
    <s v="month"/>
    <x v="0"/>
    <x v="6"/>
    <x v="1"/>
  </r>
  <r>
    <n v="215723337"/>
    <x v="269"/>
    <x v="0"/>
    <x v="0"/>
    <n v="39"/>
    <s v="month"/>
    <x v="0"/>
    <x v="6"/>
    <x v="1"/>
  </r>
  <r>
    <n v="148568942"/>
    <x v="269"/>
    <x v="0"/>
    <x v="0"/>
    <n v="39"/>
    <s v="month"/>
    <x v="0"/>
    <x v="6"/>
    <x v="1"/>
  </r>
  <r>
    <n v="215102456"/>
    <x v="269"/>
    <x v="0"/>
    <x v="0"/>
    <n v="39"/>
    <s v="month"/>
    <x v="0"/>
    <x v="6"/>
    <x v="1"/>
  </r>
  <r>
    <n v="216017581"/>
    <x v="269"/>
    <x v="0"/>
    <x v="0"/>
    <n v="39"/>
    <s v="month"/>
    <x v="0"/>
    <x v="6"/>
    <x v="1"/>
  </r>
  <r>
    <n v="153438676"/>
    <x v="269"/>
    <x v="0"/>
    <x v="0"/>
    <n v="39"/>
    <s v="month"/>
    <x v="0"/>
    <x v="6"/>
    <x v="1"/>
  </r>
  <r>
    <n v="213190132"/>
    <x v="269"/>
    <x v="0"/>
    <x v="0"/>
    <n v="39"/>
    <s v="month"/>
    <x v="0"/>
    <x v="6"/>
    <x v="1"/>
  </r>
  <r>
    <n v="216218992"/>
    <x v="269"/>
    <x v="335"/>
    <x v="0"/>
    <n v="39"/>
    <s v="month"/>
    <x v="77"/>
    <x v="6"/>
    <x v="1"/>
  </r>
  <r>
    <n v="216210442"/>
    <x v="269"/>
    <x v="273"/>
    <x v="0"/>
    <n v="39"/>
    <s v="month"/>
    <x v="134"/>
    <x v="6"/>
    <x v="1"/>
  </r>
  <r>
    <n v="129447970"/>
    <x v="269"/>
    <x v="302"/>
    <x v="0"/>
    <n v="39"/>
    <s v="month"/>
    <x v="137"/>
    <x v="6"/>
    <x v="1"/>
  </r>
  <r>
    <n v="216221115"/>
    <x v="269"/>
    <x v="135"/>
    <x v="0"/>
    <n v="39"/>
    <s v="month"/>
    <x v="50"/>
    <x v="6"/>
    <x v="1"/>
  </r>
  <r>
    <n v="215911675"/>
    <x v="269"/>
    <x v="160"/>
    <x v="0"/>
    <n v="39"/>
    <s v="month"/>
    <x v="14"/>
    <x v="6"/>
    <x v="1"/>
  </r>
  <r>
    <n v="215908254"/>
    <x v="269"/>
    <x v="173"/>
    <x v="0"/>
    <n v="39"/>
    <s v="month"/>
    <x v="86"/>
    <x v="6"/>
    <x v="1"/>
  </r>
  <r>
    <n v="214610994"/>
    <x v="269"/>
    <x v="3"/>
    <x v="0"/>
    <n v="39"/>
    <s v="month"/>
    <x v="72"/>
    <x v="6"/>
    <x v="1"/>
  </r>
  <r>
    <n v="143272167"/>
    <x v="269"/>
    <x v="290"/>
    <x v="0"/>
    <n v="39"/>
    <s v="month"/>
    <x v="106"/>
    <x v="6"/>
    <x v="1"/>
  </r>
  <r>
    <n v="216340651"/>
    <x v="270"/>
    <x v="0"/>
    <x v="0"/>
    <n v="39"/>
    <s v="month"/>
    <x v="0"/>
    <x v="0"/>
    <x v="1"/>
  </r>
  <r>
    <n v="153573832"/>
    <x v="270"/>
    <x v="0"/>
    <x v="0"/>
    <n v="39"/>
    <s v="month"/>
    <x v="0"/>
    <x v="0"/>
    <x v="1"/>
  </r>
  <r>
    <n v="138312982"/>
    <x v="270"/>
    <x v="0"/>
    <x v="0"/>
    <n v="39"/>
    <s v="month"/>
    <x v="0"/>
    <x v="0"/>
    <x v="1"/>
  </r>
  <r>
    <n v="216365777"/>
    <x v="270"/>
    <x v="0"/>
    <x v="0"/>
    <n v="39"/>
    <s v="month"/>
    <x v="0"/>
    <x v="0"/>
    <x v="1"/>
  </r>
  <r>
    <n v="216272792"/>
    <x v="270"/>
    <x v="349"/>
    <x v="0"/>
    <n v="39"/>
    <s v="month"/>
    <x v="66"/>
    <x v="0"/>
    <x v="1"/>
  </r>
  <r>
    <n v="167174814"/>
    <x v="270"/>
    <x v="186"/>
    <x v="0"/>
    <n v="39"/>
    <s v="month"/>
    <x v="79"/>
    <x v="0"/>
    <x v="1"/>
  </r>
  <r>
    <n v="216329176"/>
    <x v="270"/>
    <x v="341"/>
    <x v="0"/>
    <n v="39"/>
    <s v="month"/>
    <x v="14"/>
    <x v="0"/>
    <x v="1"/>
  </r>
  <r>
    <n v="147320092"/>
    <x v="270"/>
    <x v="255"/>
    <x v="0"/>
    <n v="39"/>
    <s v="month"/>
    <x v="156"/>
    <x v="0"/>
    <x v="1"/>
  </r>
  <r>
    <n v="157974600"/>
    <x v="270"/>
    <x v="69"/>
    <x v="0"/>
    <n v="39"/>
    <s v="month"/>
    <x v="214"/>
    <x v="0"/>
    <x v="1"/>
  </r>
  <r>
    <n v="200955808"/>
    <x v="270"/>
    <x v="340"/>
    <x v="0"/>
    <n v="39"/>
    <s v="month"/>
    <x v="35"/>
    <x v="0"/>
    <x v="1"/>
  </r>
  <r>
    <n v="216332850"/>
    <x v="270"/>
    <x v="222"/>
    <x v="0"/>
    <n v="39"/>
    <s v="month"/>
    <x v="94"/>
    <x v="0"/>
    <x v="1"/>
  </r>
  <r>
    <n v="149986818"/>
    <x v="271"/>
    <x v="0"/>
    <x v="0"/>
    <n v="39"/>
    <s v="month"/>
    <x v="0"/>
    <x v="1"/>
    <x v="1"/>
  </r>
  <r>
    <n v="132579012"/>
    <x v="271"/>
    <x v="0"/>
    <x v="0"/>
    <n v="39"/>
    <s v="month"/>
    <x v="0"/>
    <x v="1"/>
    <x v="1"/>
  </r>
  <r>
    <n v="155529346"/>
    <x v="271"/>
    <x v="356"/>
    <x v="0"/>
    <n v="39"/>
    <s v="month"/>
    <x v="166"/>
    <x v="1"/>
    <x v="1"/>
  </r>
  <r>
    <n v="153085868"/>
    <x v="271"/>
    <x v="3"/>
    <x v="0"/>
    <n v="39"/>
    <s v="month"/>
    <x v="62"/>
    <x v="1"/>
    <x v="1"/>
  </r>
  <r>
    <n v="156702204"/>
    <x v="271"/>
    <x v="135"/>
    <x v="0"/>
    <n v="39"/>
    <s v="month"/>
    <x v="35"/>
    <x v="1"/>
    <x v="1"/>
  </r>
  <r>
    <n v="158177676"/>
    <x v="271"/>
    <x v="293"/>
    <x v="0"/>
    <n v="39"/>
    <s v="month"/>
    <x v="9"/>
    <x v="1"/>
    <x v="1"/>
  </r>
  <r>
    <n v="216423972"/>
    <x v="271"/>
    <x v="346"/>
    <x v="0"/>
    <n v="39"/>
    <s v="month"/>
    <x v="190"/>
    <x v="1"/>
    <x v="1"/>
  </r>
  <r>
    <n v="216533259"/>
    <x v="272"/>
    <x v="0"/>
    <x v="0"/>
    <n v="39"/>
    <s v="month"/>
    <x v="0"/>
    <x v="2"/>
    <x v="1"/>
  </r>
  <r>
    <n v="204953211"/>
    <x v="272"/>
    <x v="0"/>
    <x v="0"/>
    <n v="39"/>
    <s v="month"/>
    <x v="0"/>
    <x v="2"/>
    <x v="1"/>
  </r>
  <r>
    <n v="149112756"/>
    <x v="272"/>
    <x v="0"/>
    <x v="0"/>
    <n v="39"/>
    <s v="month"/>
    <x v="0"/>
    <x v="2"/>
    <x v="1"/>
  </r>
  <r>
    <n v="216674420"/>
    <x v="272"/>
    <x v="343"/>
    <x v="1"/>
    <n v="39"/>
    <s v="month"/>
    <x v="1"/>
    <x v="2"/>
    <x v="1"/>
  </r>
  <r>
    <n v="148225450"/>
    <x v="272"/>
    <x v="3"/>
    <x v="0"/>
    <n v="39"/>
    <s v="month"/>
    <x v="20"/>
    <x v="2"/>
    <x v="1"/>
  </r>
  <r>
    <n v="216720172"/>
    <x v="272"/>
    <x v="177"/>
    <x v="0"/>
    <n v="39"/>
    <s v="month"/>
    <x v="118"/>
    <x v="2"/>
    <x v="1"/>
  </r>
  <r>
    <n v="204750804"/>
    <x v="272"/>
    <x v="293"/>
    <x v="0"/>
    <n v="39"/>
    <s v="month"/>
    <x v="15"/>
    <x v="2"/>
    <x v="1"/>
  </r>
  <r>
    <n v="147798395"/>
    <x v="273"/>
    <x v="0"/>
    <x v="0"/>
    <n v="39"/>
    <s v="month"/>
    <x v="0"/>
    <x v="3"/>
    <x v="1"/>
  </r>
  <r>
    <n v="216560949"/>
    <x v="273"/>
    <x v="209"/>
    <x v="0"/>
    <n v="39"/>
    <s v="month"/>
    <x v="28"/>
    <x v="3"/>
    <x v="1"/>
  </r>
  <r>
    <n v="216743053"/>
    <x v="273"/>
    <x v="346"/>
    <x v="0"/>
    <n v="39"/>
    <s v="month"/>
    <x v="57"/>
    <x v="3"/>
    <x v="1"/>
  </r>
  <r>
    <n v="149040748"/>
    <x v="274"/>
    <x v="0"/>
    <x v="0"/>
    <n v="39"/>
    <s v="month"/>
    <x v="0"/>
    <x v="4"/>
    <x v="1"/>
  </r>
  <r>
    <n v="206939746"/>
    <x v="274"/>
    <x v="0"/>
    <x v="0"/>
    <n v="39"/>
    <s v="month"/>
    <x v="0"/>
    <x v="4"/>
    <x v="1"/>
  </r>
  <r>
    <n v="216845223"/>
    <x v="274"/>
    <x v="0"/>
    <x v="0"/>
    <n v="39"/>
    <s v="month"/>
    <x v="0"/>
    <x v="4"/>
    <x v="1"/>
  </r>
  <r>
    <n v="124876382"/>
    <x v="274"/>
    <x v="328"/>
    <x v="0"/>
    <n v="39"/>
    <s v="month"/>
    <x v="39"/>
    <x v="4"/>
    <x v="1"/>
  </r>
  <r>
    <n v="168485609"/>
    <x v="274"/>
    <x v="339"/>
    <x v="0"/>
    <n v="39"/>
    <s v="month"/>
    <x v="83"/>
    <x v="4"/>
    <x v="1"/>
  </r>
  <r>
    <n v="216888206"/>
    <x v="274"/>
    <x v="302"/>
    <x v="0"/>
    <n v="39"/>
    <s v="month"/>
    <x v="97"/>
    <x v="4"/>
    <x v="1"/>
  </r>
  <r>
    <n v="216957502"/>
    <x v="275"/>
    <x v="0"/>
    <x v="0"/>
    <n v="39"/>
    <s v="month"/>
    <x v="0"/>
    <x v="5"/>
    <x v="1"/>
  </r>
  <r>
    <n v="215840282"/>
    <x v="275"/>
    <x v="0"/>
    <x v="0"/>
    <n v="39"/>
    <s v="month"/>
    <x v="0"/>
    <x v="5"/>
    <x v="1"/>
  </r>
  <r>
    <n v="216311456"/>
    <x v="275"/>
    <x v="0"/>
    <x v="0"/>
    <n v="39"/>
    <s v="month"/>
    <x v="0"/>
    <x v="5"/>
    <x v="1"/>
  </r>
  <r>
    <n v="155088727"/>
    <x v="275"/>
    <x v="0"/>
    <x v="0"/>
    <n v="39"/>
    <s v="month"/>
    <x v="0"/>
    <x v="5"/>
    <x v="1"/>
  </r>
  <r>
    <n v="216925191"/>
    <x v="275"/>
    <x v="232"/>
    <x v="0"/>
    <n v="39"/>
    <s v="month"/>
    <x v="42"/>
    <x v="5"/>
    <x v="1"/>
  </r>
  <r>
    <n v="216924741"/>
    <x v="275"/>
    <x v="313"/>
    <x v="0"/>
    <n v="39"/>
    <s v="month"/>
    <x v="148"/>
    <x v="5"/>
    <x v="1"/>
  </r>
  <r>
    <n v="194347007"/>
    <x v="275"/>
    <x v="148"/>
    <x v="0"/>
    <n v="39"/>
    <s v="month"/>
    <x v="14"/>
    <x v="5"/>
    <x v="1"/>
  </r>
  <r>
    <n v="217067696"/>
    <x v="276"/>
    <x v="0"/>
    <x v="0"/>
    <n v="39"/>
    <s v="month"/>
    <x v="0"/>
    <x v="6"/>
    <x v="1"/>
  </r>
  <r>
    <n v="217012406"/>
    <x v="276"/>
    <x v="0"/>
    <x v="0"/>
    <n v="39"/>
    <s v="month"/>
    <x v="0"/>
    <x v="6"/>
    <x v="1"/>
  </r>
  <r>
    <n v="216345770"/>
    <x v="276"/>
    <x v="0"/>
    <x v="0"/>
    <n v="39"/>
    <s v="month"/>
    <x v="0"/>
    <x v="6"/>
    <x v="1"/>
  </r>
  <r>
    <n v="215654770"/>
    <x v="276"/>
    <x v="0"/>
    <x v="0"/>
    <n v="39"/>
    <s v="month"/>
    <x v="0"/>
    <x v="6"/>
    <x v="1"/>
  </r>
  <r>
    <n v="217044528"/>
    <x v="276"/>
    <x v="0"/>
    <x v="0"/>
    <n v="39"/>
    <s v="month"/>
    <x v="0"/>
    <x v="6"/>
    <x v="1"/>
  </r>
  <r>
    <n v="217031352"/>
    <x v="276"/>
    <x v="0"/>
    <x v="0"/>
    <n v="39"/>
    <s v="month"/>
    <x v="0"/>
    <x v="6"/>
    <x v="1"/>
  </r>
  <r>
    <n v="146450388"/>
    <x v="276"/>
    <x v="0"/>
    <x v="0"/>
    <n v="39"/>
    <s v="month"/>
    <x v="0"/>
    <x v="6"/>
    <x v="1"/>
  </r>
  <r>
    <n v="153374748"/>
    <x v="276"/>
    <x v="335"/>
    <x v="0"/>
    <n v="39"/>
    <s v="month"/>
    <x v="93"/>
    <x v="6"/>
    <x v="1"/>
  </r>
  <r>
    <n v="217065874"/>
    <x v="276"/>
    <x v="3"/>
    <x v="0"/>
    <n v="39"/>
    <s v="month"/>
    <x v="2"/>
    <x v="6"/>
    <x v="1"/>
  </r>
  <r>
    <n v="216622895"/>
    <x v="276"/>
    <x v="332"/>
    <x v="0"/>
    <n v="39"/>
    <s v="month"/>
    <x v="39"/>
    <x v="6"/>
    <x v="1"/>
  </r>
  <r>
    <n v="216907852"/>
    <x v="276"/>
    <x v="325"/>
    <x v="0"/>
    <n v="39"/>
    <s v="month"/>
    <x v="50"/>
    <x v="6"/>
    <x v="1"/>
  </r>
  <r>
    <n v="217054126"/>
    <x v="277"/>
    <x v="0"/>
    <x v="0"/>
    <n v="39"/>
    <s v="month"/>
    <x v="0"/>
    <x v="0"/>
    <x v="1"/>
  </r>
  <r>
    <n v="206001231"/>
    <x v="277"/>
    <x v="0"/>
    <x v="0"/>
    <n v="39"/>
    <s v="month"/>
    <x v="0"/>
    <x v="0"/>
    <x v="1"/>
  </r>
  <r>
    <n v="216925136"/>
    <x v="277"/>
    <x v="0"/>
    <x v="0"/>
    <n v="39"/>
    <s v="month"/>
    <x v="0"/>
    <x v="0"/>
    <x v="1"/>
  </r>
  <r>
    <n v="217094352"/>
    <x v="277"/>
    <x v="135"/>
    <x v="0"/>
    <n v="39"/>
    <s v="month"/>
    <x v="15"/>
    <x v="0"/>
    <x v="1"/>
  </r>
  <r>
    <n v="206891818"/>
    <x v="277"/>
    <x v="99"/>
    <x v="0"/>
    <n v="39"/>
    <s v="month"/>
    <x v="40"/>
    <x v="0"/>
    <x v="1"/>
  </r>
  <r>
    <n v="217084888"/>
    <x v="277"/>
    <x v="308"/>
    <x v="0"/>
    <n v="39"/>
    <s v="month"/>
    <x v="11"/>
    <x v="0"/>
    <x v="1"/>
  </r>
  <r>
    <n v="216624401"/>
    <x v="277"/>
    <x v="99"/>
    <x v="0"/>
    <n v="39"/>
    <s v="month"/>
    <x v="40"/>
    <x v="0"/>
    <x v="1"/>
  </r>
  <r>
    <n v="216795282"/>
    <x v="277"/>
    <x v="205"/>
    <x v="0"/>
    <n v="39"/>
    <s v="month"/>
    <x v="19"/>
    <x v="0"/>
    <x v="1"/>
  </r>
  <r>
    <n v="174646924"/>
    <x v="278"/>
    <x v="0"/>
    <x v="0"/>
    <n v="39"/>
    <s v="month"/>
    <x v="0"/>
    <x v="1"/>
    <x v="1"/>
  </r>
  <r>
    <n v="217123644"/>
    <x v="278"/>
    <x v="0"/>
    <x v="0"/>
    <n v="39"/>
    <s v="month"/>
    <x v="0"/>
    <x v="1"/>
    <x v="1"/>
  </r>
  <r>
    <n v="217104490"/>
    <x v="278"/>
    <x v="0"/>
    <x v="0"/>
    <n v="39"/>
    <s v="month"/>
    <x v="0"/>
    <x v="1"/>
    <x v="1"/>
  </r>
  <r>
    <n v="153349708"/>
    <x v="278"/>
    <x v="0"/>
    <x v="0"/>
    <n v="39"/>
    <s v="month"/>
    <x v="0"/>
    <x v="1"/>
    <x v="1"/>
  </r>
  <r>
    <n v="153876204"/>
    <x v="278"/>
    <x v="157"/>
    <x v="0"/>
    <n v="39"/>
    <s v="month"/>
    <x v="1"/>
    <x v="1"/>
    <x v="1"/>
  </r>
  <r>
    <n v="132442956"/>
    <x v="278"/>
    <x v="176"/>
    <x v="0"/>
    <n v="39"/>
    <s v="month"/>
    <x v="78"/>
    <x v="1"/>
    <x v="1"/>
  </r>
  <r>
    <n v="130331160"/>
    <x v="278"/>
    <x v="135"/>
    <x v="0"/>
    <n v="39"/>
    <s v="month"/>
    <x v="182"/>
    <x v="1"/>
    <x v="1"/>
  </r>
  <r>
    <n v="216225148"/>
    <x v="278"/>
    <x v="270"/>
    <x v="0"/>
    <n v="39"/>
    <s v="month"/>
    <x v="11"/>
    <x v="1"/>
    <x v="1"/>
  </r>
  <r>
    <n v="161187748"/>
    <x v="278"/>
    <x v="329"/>
    <x v="0"/>
    <n v="39"/>
    <s v="month"/>
    <x v="19"/>
    <x v="1"/>
    <x v="1"/>
  </r>
  <r>
    <n v="217137211"/>
    <x v="278"/>
    <x v="249"/>
    <x v="0"/>
    <n v="39"/>
    <s v="month"/>
    <x v="14"/>
    <x v="1"/>
    <x v="1"/>
  </r>
  <r>
    <n v="180796559"/>
    <x v="278"/>
    <x v="249"/>
    <x v="0"/>
    <n v="39"/>
    <s v="month"/>
    <x v="14"/>
    <x v="1"/>
    <x v="1"/>
  </r>
  <r>
    <n v="168200039"/>
    <x v="279"/>
    <x v="186"/>
    <x v="0"/>
    <n v="39"/>
    <s v="month"/>
    <x v="1"/>
    <x v="2"/>
    <x v="1"/>
  </r>
  <r>
    <n v="217110396"/>
    <x v="279"/>
    <x v="345"/>
    <x v="0"/>
    <n v="39"/>
    <s v="month"/>
    <x v="10"/>
    <x v="2"/>
    <x v="1"/>
  </r>
  <r>
    <n v="217159016"/>
    <x v="279"/>
    <x v="301"/>
    <x v="0"/>
    <n v="39"/>
    <s v="month"/>
    <x v="169"/>
    <x v="2"/>
    <x v="1"/>
  </r>
  <r>
    <n v="217215106"/>
    <x v="280"/>
    <x v="0"/>
    <x v="0"/>
    <n v="39"/>
    <s v="month"/>
    <x v="0"/>
    <x v="3"/>
    <x v="1"/>
  </r>
  <r>
    <n v="129819604"/>
    <x v="280"/>
    <x v="314"/>
    <x v="0"/>
    <n v="39"/>
    <s v="month"/>
    <x v="14"/>
    <x v="3"/>
    <x v="1"/>
  </r>
  <r>
    <n v="217208086"/>
    <x v="280"/>
    <x v="353"/>
    <x v="0"/>
    <n v="39"/>
    <s v="month"/>
    <x v="19"/>
    <x v="3"/>
    <x v="1"/>
  </r>
  <r>
    <n v="215534470"/>
    <x v="280"/>
    <x v="314"/>
    <x v="0"/>
    <n v="39"/>
    <s v="month"/>
    <x v="14"/>
    <x v="3"/>
    <x v="1"/>
  </r>
  <r>
    <n v="217277033"/>
    <x v="281"/>
    <x v="0"/>
    <x v="0"/>
    <n v="39"/>
    <s v="month"/>
    <x v="0"/>
    <x v="4"/>
    <x v="1"/>
  </r>
  <r>
    <n v="136199071"/>
    <x v="281"/>
    <x v="0"/>
    <x v="0"/>
    <n v="39"/>
    <s v="month"/>
    <x v="0"/>
    <x v="4"/>
    <x v="1"/>
  </r>
  <r>
    <n v="217102618"/>
    <x v="281"/>
    <x v="0"/>
    <x v="0"/>
    <n v="39"/>
    <s v="month"/>
    <x v="0"/>
    <x v="4"/>
    <x v="1"/>
  </r>
  <r>
    <n v="217252136"/>
    <x v="281"/>
    <x v="0"/>
    <x v="0"/>
    <n v="39"/>
    <s v="month"/>
    <x v="0"/>
    <x v="4"/>
    <x v="1"/>
  </r>
  <r>
    <n v="215856743"/>
    <x v="281"/>
    <x v="0"/>
    <x v="0"/>
    <n v="39"/>
    <s v="month"/>
    <x v="0"/>
    <x v="4"/>
    <x v="1"/>
  </r>
  <r>
    <n v="217260184"/>
    <x v="281"/>
    <x v="232"/>
    <x v="1"/>
    <n v="39"/>
    <s v="month"/>
    <x v="1"/>
    <x v="4"/>
    <x v="1"/>
  </r>
  <r>
    <n v="140371292"/>
    <x v="281"/>
    <x v="337"/>
    <x v="0"/>
    <n v="39"/>
    <s v="month"/>
    <x v="44"/>
    <x v="4"/>
    <x v="1"/>
  </r>
  <r>
    <n v="164903790"/>
    <x v="281"/>
    <x v="240"/>
    <x v="0"/>
    <n v="39"/>
    <s v="month"/>
    <x v="87"/>
    <x v="4"/>
    <x v="1"/>
  </r>
  <r>
    <n v="217206158"/>
    <x v="281"/>
    <x v="301"/>
    <x v="0"/>
    <n v="39"/>
    <s v="month"/>
    <x v="8"/>
    <x v="4"/>
    <x v="1"/>
  </r>
  <r>
    <n v="215180470"/>
    <x v="281"/>
    <x v="310"/>
    <x v="0"/>
    <n v="39"/>
    <s v="month"/>
    <x v="13"/>
    <x v="4"/>
    <x v="1"/>
  </r>
  <r>
    <n v="217246611"/>
    <x v="281"/>
    <x v="241"/>
    <x v="0"/>
    <n v="39"/>
    <s v="month"/>
    <x v="15"/>
    <x v="4"/>
    <x v="1"/>
  </r>
  <r>
    <n v="217080066"/>
    <x v="281"/>
    <x v="315"/>
    <x v="0"/>
    <n v="39"/>
    <s v="month"/>
    <x v="35"/>
    <x v="4"/>
    <x v="1"/>
  </r>
  <r>
    <n v="214510838"/>
    <x v="282"/>
    <x v="0"/>
    <x v="0"/>
    <n v="39"/>
    <s v="month"/>
    <x v="0"/>
    <x v="5"/>
    <x v="1"/>
  </r>
  <r>
    <n v="217241338"/>
    <x v="282"/>
    <x v="0"/>
    <x v="0"/>
    <n v="39"/>
    <s v="month"/>
    <x v="0"/>
    <x v="5"/>
    <x v="1"/>
  </r>
  <r>
    <n v="215447681"/>
    <x v="282"/>
    <x v="0"/>
    <x v="0"/>
    <n v="39"/>
    <s v="month"/>
    <x v="0"/>
    <x v="5"/>
    <x v="1"/>
  </r>
  <r>
    <n v="214746385"/>
    <x v="282"/>
    <x v="0"/>
    <x v="0"/>
    <n v="39"/>
    <s v="month"/>
    <x v="0"/>
    <x v="5"/>
    <x v="1"/>
  </r>
  <r>
    <n v="217279595"/>
    <x v="282"/>
    <x v="0"/>
    <x v="0"/>
    <n v="39"/>
    <s v="month"/>
    <x v="0"/>
    <x v="5"/>
    <x v="1"/>
  </r>
  <r>
    <n v="138725699"/>
    <x v="282"/>
    <x v="69"/>
    <x v="0"/>
    <n v="39"/>
    <s v="month"/>
    <x v="1"/>
    <x v="5"/>
    <x v="1"/>
  </r>
  <r>
    <n v="199464176"/>
    <x v="282"/>
    <x v="296"/>
    <x v="0"/>
    <n v="39"/>
    <s v="month"/>
    <x v="122"/>
    <x v="5"/>
    <x v="1"/>
  </r>
  <r>
    <n v="217269788"/>
    <x v="282"/>
    <x v="350"/>
    <x v="0"/>
    <n v="39"/>
    <s v="month"/>
    <x v="87"/>
    <x v="5"/>
    <x v="1"/>
  </r>
  <r>
    <n v="217210206"/>
    <x v="282"/>
    <x v="209"/>
    <x v="0"/>
    <n v="39"/>
    <s v="month"/>
    <x v="2"/>
    <x v="5"/>
    <x v="1"/>
  </r>
  <r>
    <n v="217276264"/>
    <x v="283"/>
    <x v="0"/>
    <x v="0"/>
    <n v="39"/>
    <s v="month"/>
    <x v="0"/>
    <x v="6"/>
    <x v="1"/>
  </r>
  <r>
    <n v="217242854"/>
    <x v="283"/>
    <x v="0"/>
    <x v="0"/>
    <n v="39"/>
    <s v="month"/>
    <x v="0"/>
    <x v="6"/>
    <x v="1"/>
  </r>
  <r>
    <n v="140062581"/>
    <x v="283"/>
    <x v="273"/>
    <x v="0"/>
    <n v="39"/>
    <s v="month"/>
    <x v="1"/>
    <x v="6"/>
    <x v="1"/>
  </r>
  <r>
    <n v="217340338"/>
    <x v="283"/>
    <x v="69"/>
    <x v="1"/>
    <n v="39"/>
    <s v="month"/>
    <x v="11"/>
    <x v="6"/>
    <x v="1"/>
  </r>
  <r>
    <n v="157435806"/>
    <x v="283"/>
    <x v="346"/>
    <x v="0"/>
    <n v="39"/>
    <s v="month"/>
    <x v="35"/>
    <x v="6"/>
    <x v="1"/>
  </r>
  <r>
    <n v="217358299"/>
    <x v="283"/>
    <x v="301"/>
    <x v="0"/>
    <n v="39"/>
    <s v="month"/>
    <x v="27"/>
    <x v="6"/>
    <x v="1"/>
  </r>
  <r>
    <n v="217330046"/>
    <x v="283"/>
    <x v="340"/>
    <x v="0"/>
    <n v="39"/>
    <s v="month"/>
    <x v="118"/>
    <x v="6"/>
    <x v="1"/>
  </r>
  <r>
    <n v="216945894"/>
    <x v="284"/>
    <x v="0"/>
    <x v="0"/>
    <n v="39"/>
    <s v="month"/>
    <x v="0"/>
    <x v="0"/>
    <x v="1"/>
  </r>
  <r>
    <n v="150178354"/>
    <x v="284"/>
    <x v="0"/>
    <x v="0"/>
    <n v="39"/>
    <s v="month"/>
    <x v="0"/>
    <x v="0"/>
    <x v="1"/>
  </r>
  <r>
    <n v="153942818"/>
    <x v="284"/>
    <x v="0"/>
    <x v="0"/>
    <n v="39"/>
    <s v="month"/>
    <x v="0"/>
    <x v="0"/>
    <x v="1"/>
  </r>
  <r>
    <n v="150728848"/>
    <x v="284"/>
    <x v="0"/>
    <x v="0"/>
    <n v="39"/>
    <s v="month"/>
    <x v="0"/>
    <x v="0"/>
    <x v="1"/>
  </r>
  <r>
    <n v="138725699"/>
    <x v="284"/>
    <x v="0"/>
    <x v="0"/>
    <n v="39"/>
    <s v="month"/>
    <x v="0"/>
    <x v="0"/>
    <x v="1"/>
  </r>
  <r>
    <n v="217207926"/>
    <x v="284"/>
    <x v="0"/>
    <x v="0"/>
    <n v="39"/>
    <s v="month"/>
    <x v="0"/>
    <x v="0"/>
    <x v="1"/>
  </r>
  <r>
    <n v="217370233"/>
    <x v="284"/>
    <x v="0"/>
    <x v="0"/>
    <n v="39"/>
    <s v="month"/>
    <x v="0"/>
    <x v="0"/>
    <x v="1"/>
  </r>
  <r>
    <n v="205464540"/>
    <x v="284"/>
    <x v="357"/>
    <x v="0"/>
    <n v="39"/>
    <s v="month"/>
    <x v="14"/>
    <x v="0"/>
    <x v="1"/>
  </r>
  <r>
    <n v="167403892"/>
    <x v="284"/>
    <x v="313"/>
    <x v="0"/>
    <n v="39"/>
    <s v="month"/>
    <x v="39"/>
    <x v="0"/>
    <x v="1"/>
  </r>
  <r>
    <n v="217326821"/>
    <x v="284"/>
    <x v="313"/>
    <x v="0"/>
    <n v="39"/>
    <s v="month"/>
    <x v="39"/>
    <x v="0"/>
    <x v="1"/>
  </r>
  <r>
    <n v="214918906"/>
    <x v="284"/>
    <x v="357"/>
    <x v="0"/>
    <n v="39"/>
    <s v="month"/>
    <x v="14"/>
    <x v="0"/>
    <x v="1"/>
  </r>
  <r>
    <n v="216983668"/>
    <x v="284"/>
    <x v="348"/>
    <x v="0"/>
    <n v="39"/>
    <s v="month"/>
    <x v="35"/>
    <x v="0"/>
    <x v="1"/>
  </r>
  <r>
    <n v="217454204"/>
    <x v="285"/>
    <x v="0"/>
    <x v="0"/>
    <n v="39"/>
    <s v="month"/>
    <x v="0"/>
    <x v="1"/>
    <x v="1"/>
  </r>
  <r>
    <n v="206049284"/>
    <x v="285"/>
    <x v="0"/>
    <x v="0"/>
    <n v="39"/>
    <s v="month"/>
    <x v="0"/>
    <x v="1"/>
    <x v="1"/>
  </r>
  <r>
    <n v="132852439"/>
    <x v="285"/>
    <x v="0"/>
    <x v="0"/>
    <n v="39"/>
    <s v="month"/>
    <x v="0"/>
    <x v="1"/>
    <x v="1"/>
  </r>
  <r>
    <n v="217233198"/>
    <x v="285"/>
    <x v="0"/>
    <x v="0"/>
    <n v="39"/>
    <s v="month"/>
    <x v="0"/>
    <x v="1"/>
    <x v="1"/>
  </r>
  <r>
    <n v="188197564"/>
    <x v="285"/>
    <x v="306"/>
    <x v="0"/>
    <n v="39"/>
    <s v="month"/>
    <x v="1"/>
    <x v="1"/>
    <x v="1"/>
  </r>
  <r>
    <n v="146952862"/>
    <x v="285"/>
    <x v="315"/>
    <x v="0"/>
    <n v="39"/>
    <s v="month"/>
    <x v="20"/>
    <x v="1"/>
    <x v="1"/>
  </r>
  <r>
    <n v="152846561"/>
    <x v="285"/>
    <x v="205"/>
    <x v="0"/>
    <n v="39"/>
    <s v="month"/>
    <x v="14"/>
    <x v="1"/>
    <x v="1"/>
  </r>
  <r>
    <n v="132867770"/>
    <x v="285"/>
    <x v="329"/>
    <x v="0"/>
    <n v="39"/>
    <s v="month"/>
    <x v="87"/>
    <x v="1"/>
    <x v="1"/>
  </r>
  <r>
    <n v="206370330"/>
    <x v="285"/>
    <x v="334"/>
    <x v="0"/>
    <n v="39"/>
    <s v="month"/>
    <x v="8"/>
    <x v="1"/>
    <x v="1"/>
  </r>
  <r>
    <n v="217438230"/>
    <x v="285"/>
    <x v="148"/>
    <x v="0"/>
    <n v="39"/>
    <s v="month"/>
    <x v="62"/>
    <x v="1"/>
    <x v="1"/>
  </r>
  <r>
    <n v="217426939"/>
    <x v="285"/>
    <x v="249"/>
    <x v="0"/>
    <n v="39"/>
    <s v="month"/>
    <x v="35"/>
    <x v="1"/>
    <x v="1"/>
  </r>
  <r>
    <n v="205785520"/>
    <x v="286"/>
    <x v="0"/>
    <x v="0"/>
    <n v="39"/>
    <s v="month"/>
    <x v="0"/>
    <x v="2"/>
    <x v="1"/>
  </r>
  <r>
    <n v="154284527"/>
    <x v="286"/>
    <x v="329"/>
    <x v="0"/>
    <n v="39"/>
    <s v="month"/>
    <x v="14"/>
    <x v="2"/>
    <x v="1"/>
  </r>
  <r>
    <n v="214105912"/>
    <x v="286"/>
    <x v="329"/>
    <x v="0"/>
    <n v="39"/>
    <s v="month"/>
    <x v="14"/>
    <x v="2"/>
    <x v="1"/>
  </r>
  <r>
    <n v="200909190"/>
    <x v="286"/>
    <x v="347"/>
    <x v="0"/>
    <n v="39"/>
    <s v="month"/>
    <x v="39"/>
    <x v="2"/>
    <x v="1"/>
  </r>
  <r>
    <n v="151633468"/>
    <x v="286"/>
    <x v="222"/>
    <x v="0"/>
    <n v="39"/>
    <s v="month"/>
    <x v="19"/>
    <x v="2"/>
    <x v="1"/>
  </r>
  <r>
    <n v="207010976"/>
    <x v="286"/>
    <x v="347"/>
    <x v="0"/>
    <n v="39"/>
    <s v="month"/>
    <x v="39"/>
    <x v="2"/>
    <x v="1"/>
  </r>
  <r>
    <n v="217487776"/>
    <x v="286"/>
    <x v="240"/>
    <x v="0"/>
    <n v="39"/>
    <s v="month"/>
    <x v="156"/>
    <x v="2"/>
    <x v="1"/>
  </r>
  <r>
    <n v="217484551"/>
    <x v="286"/>
    <x v="329"/>
    <x v="0"/>
    <n v="39"/>
    <s v="month"/>
    <x v="14"/>
    <x v="2"/>
    <x v="1"/>
  </r>
  <r>
    <n v="217498202"/>
    <x v="287"/>
    <x v="0"/>
    <x v="0"/>
    <n v="39"/>
    <s v="month"/>
    <x v="0"/>
    <x v="3"/>
    <x v="1"/>
  </r>
  <r>
    <n v="217234603"/>
    <x v="287"/>
    <x v="0"/>
    <x v="0"/>
    <n v="39"/>
    <s v="month"/>
    <x v="0"/>
    <x v="3"/>
    <x v="1"/>
  </r>
  <r>
    <n v="217264148"/>
    <x v="287"/>
    <x v="0"/>
    <x v="0"/>
    <n v="39"/>
    <s v="month"/>
    <x v="0"/>
    <x v="3"/>
    <x v="1"/>
  </r>
  <r>
    <n v="217513366"/>
    <x v="287"/>
    <x v="0"/>
    <x v="0"/>
    <n v="39"/>
    <s v="month"/>
    <x v="0"/>
    <x v="3"/>
    <x v="1"/>
  </r>
  <r>
    <n v="217503737"/>
    <x v="287"/>
    <x v="0"/>
    <x v="0"/>
    <n v="39"/>
    <s v="month"/>
    <x v="0"/>
    <x v="3"/>
    <x v="1"/>
  </r>
  <r>
    <n v="151540809"/>
    <x v="287"/>
    <x v="0"/>
    <x v="0"/>
    <n v="39"/>
    <s v="month"/>
    <x v="0"/>
    <x v="3"/>
    <x v="1"/>
  </r>
  <r>
    <n v="217526421"/>
    <x v="287"/>
    <x v="262"/>
    <x v="0"/>
    <n v="39"/>
    <s v="month"/>
    <x v="88"/>
    <x v="3"/>
    <x v="1"/>
  </r>
  <r>
    <n v="217418580"/>
    <x v="287"/>
    <x v="346"/>
    <x v="0"/>
    <n v="39"/>
    <s v="month"/>
    <x v="20"/>
    <x v="3"/>
    <x v="1"/>
  </r>
  <r>
    <n v="217426015"/>
    <x v="288"/>
    <x v="0"/>
    <x v="0"/>
    <n v="39"/>
    <s v="month"/>
    <x v="0"/>
    <x v="4"/>
    <x v="1"/>
  </r>
  <r>
    <n v="217557584"/>
    <x v="288"/>
    <x v="0"/>
    <x v="0"/>
    <n v="39"/>
    <s v="month"/>
    <x v="0"/>
    <x v="4"/>
    <x v="1"/>
  </r>
  <r>
    <n v="217406489"/>
    <x v="288"/>
    <x v="0"/>
    <x v="0"/>
    <n v="39"/>
    <s v="month"/>
    <x v="0"/>
    <x v="4"/>
    <x v="1"/>
  </r>
  <r>
    <n v="217536534"/>
    <x v="288"/>
    <x v="0"/>
    <x v="0"/>
    <n v="39"/>
    <s v="month"/>
    <x v="0"/>
    <x v="4"/>
    <x v="1"/>
  </r>
  <r>
    <n v="217557082"/>
    <x v="288"/>
    <x v="0"/>
    <x v="0"/>
    <n v="39"/>
    <s v="month"/>
    <x v="0"/>
    <x v="4"/>
    <x v="1"/>
  </r>
  <r>
    <n v="176024207"/>
    <x v="288"/>
    <x v="307"/>
    <x v="0"/>
    <n v="39"/>
    <s v="month"/>
    <x v="78"/>
    <x v="4"/>
    <x v="1"/>
  </r>
  <r>
    <n v="160598122"/>
    <x v="288"/>
    <x v="353"/>
    <x v="0"/>
    <n v="39"/>
    <s v="month"/>
    <x v="14"/>
    <x v="4"/>
    <x v="1"/>
  </r>
  <r>
    <n v="217378430"/>
    <x v="288"/>
    <x v="310"/>
    <x v="0"/>
    <n v="39"/>
    <s v="month"/>
    <x v="122"/>
    <x v="4"/>
    <x v="1"/>
  </r>
  <r>
    <n v="193680187"/>
    <x v="288"/>
    <x v="177"/>
    <x v="0"/>
    <n v="39"/>
    <s v="month"/>
    <x v="1"/>
    <x v="4"/>
    <x v="1"/>
  </r>
  <r>
    <n v="180424442"/>
    <x v="288"/>
    <x v="353"/>
    <x v="0"/>
    <n v="39"/>
    <s v="month"/>
    <x v="14"/>
    <x v="4"/>
    <x v="1"/>
  </r>
  <r>
    <n v="217612796"/>
    <x v="289"/>
    <x v="0"/>
    <x v="0"/>
    <n v="39"/>
    <s v="month"/>
    <x v="0"/>
    <x v="5"/>
    <x v="1"/>
  </r>
  <r>
    <n v="217601263"/>
    <x v="289"/>
    <x v="0"/>
    <x v="0"/>
    <n v="39"/>
    <s v="month"/>
    <x v="0"/>
    <x v="5"/>
    <x v="1"/>
  </r>
  <r>
    <n v="217594148"/>
    <x v="289"/>
    <x v="0"/>
    <x v="0"/>
    <n v="39"/>
    <s v="month"/>
    <x v="0"/>
    <x v="5"/>
    <x v="1"/>
  </r>
  <r>
    <n v="217598396"/>
    <x v="289"/>
    <x v="0"/>
    <x v="0"/>
    <n v="39"/>
    <s v="month"/>
    <x v="0"/>
    <x v="5"/>
    <x v="1"/>
  </r>
  <r>
    <n v="206647130"/>
    <x v="289"/>
    <x v="0"/>
    <x v="0"/>
    <n v="39"/>
    <s v="month"/>
    <x v="0"/>
    <x v="5"/>
    <x v="1"/>
  </r>
  <r>
    <n v="207099222"/>
    <x v="289"/>
    <x v="0"/>
    <x v="0"/>
    <n v="39"/>
    <s v="month"/>
    <x v="0"/>
    <x v="5"/>
    <x v="1"/>
  </r>
  <r>
    <n v="207079318"/>
    <x v="289"/>
    <x v="0"/>
    <x v="0"/>
    <n v="39"/>
    <s v="month"/>
    <x v="0"/>
    <x v="5"/>
    <x v="1"/>
  </r>
  <r>
    <n v="217580362"/>
    <x v="289"/>
    <x v="0"/>
    <x v="0"/>
    <n v="39"/>
    <s v="month"/>
    <x v="0"/>
    <x v="5"/>
    <x v="1"/>
  </r>
  <r>
    <n v="217438678"/>
    <x v="289"/>
    <x v="0"/>
    <x v="0"/>
    <n v="39"/>
    <s v="month"/>
    <x v="0"/>
    <x v="5"/>
    <x v="1"/>
  </r>
  <r>
    <n v="215963364"/>
    <x v="289"/>
    <x v="173"/>
    <x v="0"/>
    <n v="39"/>
    <s v="month"/>
    <x v="1"/>
    <x v="5"/>
    <x v="1"/>
  </r>
  <r>
    <n v="153876204"/>
    <x v="289"/>
    <x v="205"/>
    <x v="0"/>
    <n v="39"/>
    <s v="month"/>
    <x v="156"/>
    <x v="5"/>
    <x v="1"/>
  </r>
  <r>
    <n v="153828803"/>
    <x v="289"/>
    <x v="311"/>
    <x v="0"/>
    <n v="39"/>
    <s v="month"/>
    <x v="208"/>
    <x v="5"/>
    <x v="1"/>
  </r>
  <r>
    <n v="217595865"/>
    <x v="289"/>
    <x v="282"/>
    <x v="0"/>
    <n v="39"/>
    <s v="month"/>
    <x v="14"/>
    <x v="5"/>
    <x v="1"/>
  </r>
  <r>
    <n v="216158153"/>
    <x v="289"/>
    <x v="329"/>
    <x v="0"/>
    <n v="39"/>
    <s v="month"/>
    <x v="36"/>
    <x v="5"/>
    <x v="1"/>
  </r>
  <r>
    <n v="217548173"/>
    <x v="289"/>
    <x v="265"/>
    <x v="0"/>
    <n v="39"/>
    <s v="month"/>
    <x v="72"/>
    <x v="5"/>
    <x v="1"/>
  </r>
  <r>
    <n v="217533118"/>
    <x v="290"/>
    <x v="0"/>
    <x v="0"/>
    <n v="39"/>
    <s v="month"/>
    <x v="0"/>
    <x v="6"/>
    <x v="1"/>
  </r>
  <r>
    <n v="205128906"/>
    <x v="290"/>
    <x v="0"/>
    <x v="0"/>
    <n v="39"/>
    <s v="month"/>
    <x v="0"/>
    <x v="6"/>
    <x v="1"/>
  </r>
  <r>
    <n v="205812132"/>
    <x v="290"/>
    <x v="0"/>
    <x v="0"/>
    <n v="39"/>
    <s v="month"/>
    <x v="0"/>
    <x v="6"/>
    <x v="1"/>
  </r>
  <r>
    <n v="216907554"/>
    <x v="290"/>
    <x v="0"/>
    <x v="0"/>
    <n v="39"/>
    <s v="month"/>
    <x v="0"/>
    <x v="6"/>
    <x v="1"/>
  </r>
  <r>
    <n v="215113542"/>
    <x v="290"/>
    <x v="0"/>
    <x v="0"/>
    <n v="39"/>
    <s v="month"/>
    <x v="0"/>
    <x v="6"/>
    <x v="1"/>
  </r>
  <r>
    <n v="204772797"/>
    <x v="290"/>
    <x v="0"/>
    <x v="0"/>
    <n v="39"/>
    <s v="month"/>
    <x v="0"/>
    <x v="6"/>
    <x v="1"/>
  </r>
  <r>
    <n v="217627630"/>
    <x v="290"/>
    <x v="0"/>
    <x v="0"/>
    <n v="39"/>
    <s v="month"/>
    <x v="0"/>
    <x v="6"/>
    <x v="1"/>
  </r>
  <r>
    <n v="217635272"/>
    <x v="290"/>
    <x v="0"/>
    <x v="0"/>
    <n v="39"/>
    <s v="month"/>
    <x v="0"/>
    <x v="6"/>
    <x v="1"/>
  </r>
  <r>
    <n v="217543308"/>
    <x v="290"/>
    <x v="311"/>
    <x v="0"/>
    <n v="39"/>
    <s v="month"/>
    <x v="1"/>
    <x v="6"/>
    <x v="1"/>
  </r>
  <r>
    <n v="217626870"/>
    <x v="290"/>
    <x v="311"/>
    <x v="1"/>
    <n v="39"/>
    <s v="month"/>
    <x v="1"/>
    <x v="6"/>
    <x v="1"/>
  </r>
  <r>
    <n v="217246912"/>
    <x v="290"/>
    <x v="311"/>
    <x v="1"/>
    <n v="39"/>
    <s v="month"/>
    <x v="1"/>
    <x v="6"/>
    <x v="1"/>
  </r>
  <r>
    <n v="217223132"/>
    <x v="290"/>
    <x v="63"/>
    <x v="0"/>
    <n v="39"/>
    <s v="month"/>
    <x v="27"/>
    <x v="6"/>
    <x v="1"/>
  </r>
  <r>
    <n v="217650160"/>
    <x v="290"/>
    <x v="195"/>
    <x v="0"/>
    <n v="39"/>
    <s v="month"/>
    <x v="43"/>
    <x v="6"/>
    <x v="1"/>
  </r>
  <r>
    <n v="149856123"/>
    <x v="290"/>
    <x v="316"/>
    <x v="0"/>
    <n v="39"/>
    <s v="month"/>
    <x v="20"/>
    <x v="6"/>
    <x v="1"/>
  </r>
  <r>
    <n v="217657148"/>
    <x v="290"/>
    <x v="187"/>
    <x v="0"/>
    <n v="39"/>
    <s v="month"/>
    <x v="173"/>
    <x v="6"/>
    <x v="1"/>
  </r>
  <r>
    <n v="217386658"/>
    <x v="290"/>
    <x v="344"/>
    <x v="0"/>
    <n v="39"/>
    <s v="month"/>
    <x v="36"/>
    <x v="6"/>
    <x v="1"/>
  </r>
  <r>
    <n v="202563999"/>
    <x v="291"/>
    <x v="0"/>
    <x v="0"/>
    <n v="39"/>
    <s v="month"/>
    <x v="0"/>
    <x v="0"/>
    <x v="1"/>
  </r>
  <r>
    <n v="137195650"/>
    <x v="291"/>
    <x v="0"/>
    <x v="0"/>
    <n v="39"/>
    <s v="month"/>
    <x v="0"/>
    <x v="0"/>
    <x v="1"/>
  </r>
  <r>
    <n v="138372112"/>
    <x v="291"/>
    <x v="0"/>
    <x v="0"/>
    <n v="39"/>
    <s v="month"/>
    <x v="0"/>
    <x v="0"/>
    <x v="1"/>
  </r>
  <r>
    <n v="217692419"/>
    <x v="291"/>
    <x v="0"/>
    <x v="0"/>
    <n v="39"/>
    <s v="month"/>
    <x v="0"/>
    <x v="0"/>
    <x v="1"/>
  </r>
  <r>
    <n v="217610905"/>
    <x v="291"/>
    <x v="0"/>
    <x v="0"/>
    <n v="39"/>
    <s v="month"/>
    <x v="0"/>
    <x v="0"/>
    <x v="1"/>
  </r>
  <r>
    <n v="217618558"/>
    <x v="291"/>
    <x v="0"/>
    <x v="0"/>
    <n v="39"/>
    <s v="month"/>
    <x v="0"/>
    <x v="0"/>
    <x v="1"/>
  </r>
  <r>
    <n v="190490555"/>
    <x v="291"/>
    <x v="0"/>
    <x v="0"/>
    <n v="39"/>
    <s v="month"/>
    <x v="0"/>
    <x v="0"/>
    <x v="1"/>
  </r>
  <r>
    <n v="122169020"/>
    <x v="291"/>
    <x v="147"/>
    <x v="0"/>
    <n v="39"/>
    <s v="month"/>
    <x v="1"/>
    <x v="0"/>
    <x v="1"/>
  </r>
  <r>
    <n v="217628239"/>
    <x v="291"/>
    <x v="147"/>
    <x v="1"/>
    <n v="39"/>
    <s v="month"/>
    <x v="1"/>
    <x v="0"/>
    <x v="1"/>
  </r>
  <r>
    <n v="148062219"/>
    <x v="291"/>
    <x v="265"/>
    <x v="0"/>
    <n v="39"/>
    <s v="month"/>
    <x v="62"/>
    <x v="0"/>
    <x v="1"/>
  </r>
  <r>
    <n v="131505988"/>
    <x v="291"/>
    <x v="241"/>
    <x v="0"/>
    <n v="39"/>
    <s v="month"/>
    <x v="10"/>
    <x v="0"/>
    <x v="1"/>
  </r>
  <r>
    <n v="215489398"/>
    <x v="291"/>
    <x v="311"/>
    <x v="0"/>
    <n v="39"/>
    <s v="month"/>
    <x v="11"/>
    <x v="0"/>
    <x v="1"/>
  </r>
  <r>
    <n v="195285936"/>
    <x v="291"/>
    <x v="63"/>
    <x v="0"/>
    <n v="39"/>
    <s v="month"/>
    <x v="110"/>
    <x v="0"/>
    <x v="1"/>
  </r>
  <r>
    <n v="217725764"/>
    <x v="291"/>
    <x v="293"/>
    <x v="0"/>
    <n v="39"/>
    <s v="month"/>
    <x v="225"/>
    <x v="0"/>
    <x v="1"/>
  </r>
  <r>
    <n v="217730944"/>
    <x v="291"/>
    <x v="241"/>
    <x v="0"/>
    <n v="39"/>
    <s v="month"/>
    <x v="10"/>
    <x v="0"/>
    <x v="1"/>
  </r>
  <r>
    <n v="205548571"/>
    <x v="292"/>
    <x v="0"/>
    <x v="0"/>
    <n v="39"/>
    <s v="month"/>
    <x v="0"/>
    <x v="1"/>
    <x v="1"/>
  </r>
  <r>
    <n v="188085249"/>
    <x v="292"/>
    <x v="0"/>
    <x v="0"/>
    <n v="39"/>
    <s v="month"/>
    <x v="0"/>
    <x v="1"/>
    <x v="1"/>
  </r>
  <r>
    <n v="206697535"/>
    <x v="292"/>
    <x v="0"/>
    <x v="0"/>
    <n v="39"/>
    <s v="month"/>
    <x v="0"/>
    <x v="1"/>
    <x v="1"/>
  </r>
  <r>
    <n v="152705871"/>
    <x v="292"/>
    <x v="0"/>
    <x v="0"/>
    <n v="39"/>
    <s v="month"/>
    <x v="0"/>
    <x v="1"/>
    <x v="1"/>
  </r>
  <r>
    <n v="216139584"/>
    <x v="292"/>
    <x v="0"/>
    <x v="0"/>
    <n v="39"/>
    <s v="month"/>
    <x v="0"/>
    <x v="1"/>
    <x v="1"/>
  </r>
  <r>
    <n v="127716285"/>
    <x v="292"/>
    <x v="0"/>
    <x v="0"/>
    <n v="39"/>
    <s v="month"/>
    <x v="0"/>
    <x v="1"/>
    <x v="1"/>
  </r>
  <r>
    <n v="138535334"/>
    <x v="292"/>
    <x v="225"/>
    <x v="0"/>
    <n v="39"/>
    <s v="month"/>
    <x v="94"/>
    <x v="1"/>
    <x v="1"/>
  </r>
  <r>
    <n v="205869717"/>
    <x v="292"/>
    <x v="211"/>
    <x v="0"/>
    <n v="39"/>
    <s v="month"/>
    <x v="39"/>
    <x v="1"/>
    <x v="1"/>
  </r>
  <r>
    <n v="204985013"/>
    <x v="292"/>
    <x v="328"/>
    <x v="0"/>
    <n v="39"/>
    <s v="month"/>
    <x v="43"/>
    <x v="1"/>
    <x v="1"/>
  </r>
  <r>
    <n v="217763600"/>
    <x v="293"/>
    <x v="0"/>
    <x v="0"/>
    <n v="39"/>
    <s v="month"/>
    <x v="0"/>
    <x v="2"/>
    <x v="1"/>
  </r>
  <r>
    <n v="217808731"/>
    <x v="293"/>
    <x v="312"/>
    <x v="1"/>
    <n v="39"/>
    <s v="month"/>
    <x v="1"/>
    <x v="2"/>
    <x v="1"/>
  </r>
  <r>
    <n v="217822232"/>
    <x v="293"/>
    <x v="358"/>
    <x v="0"/>
    <n v="39"/>
    <s v="month"/>
    <x v="190"/>
    <x v="2"/>
    <x v="1"/>
  </r>
  <r>
    <n v="217718093"/>
    <x v="294"/>
    <x v="0"/>
    <x v="0"/>
    <n v="39"/>
    <s v="month"/>
    <x v="0"/>
    <x v="3"/>
    <x v="1"/>
  </r>
  <r>
    <n v="217555660"/>
    <x v="294"/>
    <x v="0"/>
    <x v="0"/>
    <n v="39"/>
    <s v="month"/>
    <x v="0"/>
    <x v="3"/>
    <x v="1"/>
  </r>
  <r>
    <n v="154535908"/>
    <x v="294"/>
    <x v="0"/>
    <x v="0"/>
    <n v="39"/>
    <s v="month"/>
    <x v="0"/>
    <x v="3"/>
    <x v="1"/>
  </r>
  <r>
    <n v="217554744"/>
    <x v="294"/>
    <x v="222"/>
    <x v="0"/>
    <n v="39"/>
    <s v="month"/>
    <x v="14"/>
    <x v="3"/>
    <x v="1"/>
  </r>
  <r>
    <n v="217877324"/>
    <x v="294"/>
    <x v="312"/>
    <x v="0"/>
    <n v="39"/>
    <s v="month"/>
    <x v="11"/>
    <x v="3"/>
    <x v="1"/>
  </r>
  <r>
    <n v="147765298"/>
    <x v="295"/>
    <x v="0"/>
    <x v="0"/>
    <n v="39"/>
    <s v="month"/>
    <x v="0"/>
    <x v="4"/>
    <x v="1"/>
  </r>
  <r>
    <n v="217901196"/>
    <x v="295"/>
    <x v="0"/>
    <x v="0"/>
    <n v="39"/>
    <s v="month"/>
    <x v="0"/>
    <x v="4"/>
    <x v="1"/>
  </r>
  <r>
    <n v="217266939"/>
    <x v="295"/>
    <x v="0"/>
    <x v="0"/>
    <n v="39"/>
    <s v="month"/>
    <x v="0"/>
    <x v="4"/>
    <x v="1"/>
  </r>
  <r>
    <n v="204908076"/>
    <x v="295"/>
    <x v="0"/>
    <x v="0"/>
    <n v="39"/>
    <s v="month"/>
    <x v="0"/>
    <x v="4"/>
    <x v="1"/>
  </r>
  <r>
    <n v="217698784"/>
    <x v="295"/>
    <x v="0"/>
    <x v="0"/>
    <n v="39"/>
    <s v="month"/>
    <x v="0"/>
    <x v="4"/>
    <x v="1"/>
  </r>
  <r>
    <n v="217909024"/>
    <x v="295"/>
    <x v="0"/>
    <x v="0"/>
    <n v="39"/>
    <s v="month"/>
    <x v="0"/>
    <x v="4"/>
    <x v="1"/>
  </r>
  <r>
    <n v="201498671"/>
    <x v="295"/>
    <x v="0"/>
    <x v="0"/>
    <n v="39"/>
    <s v="month"/>
    <x v="0"/>
    <x v="4"/>
    <x v="1"/>
  </r>
  <r>
    <n v="217902650"/>
    <x v="295"/>
    <x v="0"/>
    <x v="0"/>
    <n v="39"/>
    <s v="month"/>
    <x v="0"/>
    <x v="4"/>
    <x v="1"/>
  </r>
  <r>
    <n v="217896282"/>
    <x v="295"/>
    <x v="0"/>
    <x v="0"/>
    <n v="39"/>
    <s v="month"/>
    <x v="0"/>
    <x v="4"/>
    <x v="1"/>
  </r>
  <r>
    <n v="217337901"/>
    <x v="295"/>
    <x v="0"/>
    <x v="0"/>
    <n v="39"/>
    <s v="month"/>
    <x v="0"/>
    <x v="4"/>
    <x v="1"/>
  </r>
  <r>
    <n v="217477535"/>
    <x v="295"/>
    <x v="0"/>
    <x v="0"/>
    <n v="39"/>
    <s v="month"/>
    <x v="0"/>
    <x v="4"/>
    <x v="1"/>
  </r>
  <r>
    <n v="217885621"/>
    <x v="295"/>
    <x v="0"/>
    <x v="0"/>
    <n v="39"/>
    <s v="month"/>
    <x v="0"/>
    <x v="4"/>
    <x v="1"/>
  </r>
  <r>
    <n v="217714764"/>
    <x v="295"/>
    <x v="0"/>
    <x v="0"/>
    <n v="39"/>
    <s v="month"/>
    <x v="0"/>
    <x v="4"/>
    <x v="1"/>
  </r>
  <r>
    <n v="217335548"/>
    <x v="295"/>
    <x v="349"/>
    <x v="0"/>
    <n v="39"/>
    <s v="month"/>
    <x v="130"/>
    <x v="4"/>
    <x v="1"/>
  </r>
  <r>
    <n v="129747676"/>
    <x v="295"/>
    <x v="293"/>
    <x v="0"/>
    <n v="39"/>
    <s v="month"/>
    <x v="1"/>
    <x v="4"/>
    <x v="1"/>
  </r>
  <r>
    <n v="217846698"/>
    <x v="295"/>
    <x v="293"/>
    <x v="1"/>
    <n v="39"/>
    <s v="month"/>
    <x v="1"/>
    <x v="4"/>
    <x v="1"/>
  </r>
  <r>
    <n v="217965791"/>
    <x v="296"/>
    <x v="0"/>
    <x v="0"/>
    <n v="39"/>
    <s v="month"/>
    <x v="0"/>
    <x v="5"/>
    <x v="1"/>
  </r>
  <r>
    <n v="217851124"/>
    <x v="296"/>
    <x v="0"/>
    <x v="0"/>
    <n v="39"/>
    <s v="month"/>
    <x v="0"/>
    <x v="5"/>
    <x v="1"/>
  </r>
  <r>
    <n v="217861903"/>
    <x v="296"/>
    <x v="0"/>
    <x v="0"/>
    <n v="39"/>
    <s v="month"/>
    <x v="0"/>
    <x v="5"/>
    <x v="1"/>
  </r>
  <r>
    <n v="217660423"/>
    <x v="296"/>
    <x v="0"/>
    <x v="0"/>
    <n v="39"/>
    <s v="month"/>
    <x v="0"/>
    <x v="5"/>
    <x v="1"/>
  </r>
  <r>
    <n v="217814342"/>
    <x v="296"/>
    <x v="0"/>
    <x v="0"/>
    <n v="39"/>
    <s v="month"/>
    <x v="0"/>
    <x v="5"/>
    <x v="1"/>
  </r>
  <r>
    <n v="157548765"/>
    <x v="296"/>
    <x v="99"/>
    <x v="1"/>
    <n v="39"/>
    <s v="month"/>
    <x v="1"/>
    <x v="5"/>
    <x v="1"/>
  </r>
  <r>
    <n v="217934288"/>
    <x v="296"/>
    <x v="99"/>
    <x v="1"/>
    <n v="39"/>
    <s v="month"/>
    <x v="1"/>
    <x v="5"/>
    <x v="1"/>
  </r>
  <r>
    <n v="217855786"/>
    <x v="296"/>
    <x v="99"/>
    <x v="1"/>
    <n v="39"/>
    <s v="month"/>
    <x v="1"/>
    <x v="5"/>
    <x v="1"/>
  </r>
  <r>
    <n v="131753677"/>
    <x v="296"/>
    <x v="334"/>
    <x v="0"/>
    <n v="39"/>
    <s v="month"/>
    <x v="78"/>
    <x v="5"/>
    <x v="1"/>
  </r>
  <r>
    <n v="215963364"/>
    <x v="296"/>
    <x v="302"/>
    <x v="0"/>
    <n v="39"/>
    <s v="month"/>
    <x v="39"/>
    <x v="5"/>
    <x v="1"/>
  </r>
  <r>
    <n v="217971206"/>
    <x v="296"/>
    <x v="314"/>
    <x v="0"/>
    <n v="39"/>
    <s v="month"/>
    <x v="86"/>
    <x v="5"/>
    <x v="1"/>
  </r>
  <r>
    <n v="217943053"/>
    <x v="296"/>
    <x v="316"/>
    <x v="0"/>
    <n v="39"/>
    <s v="month"/>
    <x v="40"/>
    <x v="5"/>
    <x v="1"/>
  </r>
  <r>
    <n v="218004764"/>
    <x v="297"/>
    <x v="0"/>
    <x v="0"/>
    <n v="39"/>
    <s v="month"/>
    <x v="0"/>
    <x v="6"/>
    <x v="1"/>
  </r>
  <r>
    <n v="217768772"/>
    <x v="297"/>
    <x v="0"/>
    <x v="0"/>
    <n v="39"/>
    <s v="month"/>
    <x v="0"/>
    <x v="6"/>
    <x v="1"/>
  </r>
  <r>
    <n v="216775344"/>
    <x v="297"/>
    <x v="0"/>
    <x v="0"/>
    <n v="39"/>
    <s v="month"/>
    <x v="0"/>
    <x v="6"/>
    <x v="1"/>
  </r>
  <r>
    <n v="135364787"/>
    <x v="297"/>
    <x v="0"/>
    <x v="0"/>
    <n v="39"/>
    <s v="month"/>
    <x v="0"/>
    <x v="6"/>
    <x v="1"/>
  </r>
  <r>
    <n v="148107179"/>
    <x v="297"/>
    <x v="236"/>
    <x v="0"/>
    <n v="39"/>
    <s v="month"/>
    <x v="14"/>
    <x v="6"/>
    <x v="1"/>
  </r>
  <r>
    <n v="215904194"/>
    <x v="297"/>
    <x v="357"/>
    <x v="0"/>
    <n v="39"/>
    <s v="month"/>
    <x v="15"/>
    <x v="6"/>
    <x v="1"/>
  </r>
  <r>
    <n v="217988577"/>
    <x v="297"/>
    <x v="353"/>
    <x v="0"/>
    <n v="39"/>
    <s v="month"/>
    <x v="44"/>
    <x v="6"/>
    <x v="1"/>
  </r>
  <r>
    <n v="146124679"/>
    <x v="297"/>
    <x v="176"/>
    <x v="0"/>
    <n v="39"/>
    <s v="month"/>
    <x v="35"/>
    <x v="6"/>
    <x v="1"/>
  </r>
  <r>
    <n v="217819772"/>
    <x v="298"/>
    <x v="0"/>
    <x v="0"/>
    <n v="39"/>
    <s v="month"/>
    <x v="0"/>
    <x v="0"/>
    <x v="1"/>
  </r>
  <r>
    <n v="217996629"/>
    <x v="298"/>
    <x v="0"/>
    <x v="0"/>
    <n v="39"/>
    <s v="month"/>
    <x v="0"/>
    <x v="0"/>
    <x v="1"/>
  </r>
  <r>
    <n v="152621756"/>
    <x v="298"/>
    <x v="0"/>
    <x v="0"/>
    <n v="39"/>
    <s v="month"/>
    <x v="0"/>
    <x v="0"/>
    <x v="1"/>
  </r>
  <r>
    <n v="218006807"/>
    <x v="298"/>
    <x v="0"/>
    <x v="0"/>
    <n v="39"/>
    <s v="month"/>
    <x v="0"/>
    <x v="0"/>
    <x v="1"/>
  </r>
  <r>
    <n v="218045202"/>
    <x v="298"/>
    <x v="355"/>
    <x v="0"/>
    <n v="39"/>
    <s v="month"/>
    <x v="94"/>
    <x v="0"/>
    <x v="1"/>
  </r>
  <r>
    <n v="122215146"/>
    <x v="298"/>
    <x v="283"/>
    <x v="0"/>
    <n v="39"/>
    <s v="month"/>
    <x v="19"/>
    <x v="0"/>
    <x v="1"/>
  </r>
  <r>
    <n v="218003864"/>
    <x v="298"/>
    <x v="176"/>
    <x v="0"/>
    <n v="39"/>
    <s v="month"/>
    <x v="72"/>
    <x v="0"/>
    <x v="1"/>
  </r>
  <r>
    <n v="218088770"/>
    <x v="299"/>
    <x v="0"/>
    <x v="0"/>
    <n v="39"/>
    <s v="month"/>
    <x v="0"/>
    <x v="1"/>
    <x v="1"/>
  </r>
  <r>
    <n v="217856893"/>
    <x v="299"/>
    <x v="0"/>
    <x v="0"/>
    <n v="39"/>
    <s v="month"/>
    <x v="0"/>
    <x v="1"/>
    <x v="1"/>
  </r>
  <r>
    <n v="156054912"/>
    <x v="299"/>
    <x v="0"/>
    <x v="0"/>
    <n v="39"/>
    <s v="month"/>
    <x v="0"/>
    <x v="1"/>
    <x v="1"/>
  </r>
  <r>
    <n v="218059054"/>
    <x v="299"/>
    <x v="0"/>
    <x v="0"/>
    <n v="39"/>
    <s v="month"/>
    <x v="0"/>
    <x v="1"/>
    <x v="1"/>
  </r>
  <r>
    <n v="218074245"/>
    <x v="299"/>
    <x v="0"/>
    <x v="0"/>
    <n v="39"/>
    <s v="month"/>
    <x v="0"/>
    <x v="1"/>
    <x v="1"/>
  </r>
  <r>
    <n v="204774586"/>
    <x v="299"/>
    <x v="0"/>
    <x v="0"/>
    <n v="39"/>
    <s v="month"/>
    <x v="0"/>
    <x v="1"/>
    <x v="1"/>
  </r>
  <r>
    <n v="215941440"/>
    <x v="299"/>
    <x v="0"/>
    <x v="0"/>
    <n v="39"/>
    <s v="month"/>
    <x v="0"/>
    <x v="1"/>
    <x v="1"/>
  </r>
  <r>
    <n v="205547323"/>
    <x v="299"/>
    <x v="0"/>
    <x v="1"/>
    <n v="39"/>
    <s v="month"/>
    <x v="0"/>
    <x v="1"/>
    <x v="1"/>
  </r>
  <r>
    <n v="140062581"/>
    <x v="299"/>
    <x v="0"/>
    <x v="0"/>
    <n v="39"/>
    <s v="month"/>
    <x v="0"/>
    <x v="1"/>
    <x v="1"/>
  </r>
  <r>
    <n v="217932519"/>
    <x v="299"/>
    <x v="340"/>
    <x v="0"/>
    <n v="39"/>
    <s v="month"/>
    <x v="1"/>
    <x v="1"/>
    <x v="1"/>
  </r>
  <r>
    <n v="217982048"/>
    <x v="299"/>
    <x v="340"/>
    <x v="1"/>
    <n v="39"/>
    <s v="month"/>
    <x v="1"/>
    <x v="1"/>
    <x v="1"/>
  </r>
  <r>
    <n v="218066467"/>
    <x v="299"/>
    <x v="335"/>
    <x v="0"/>
    <n v="39"/>
    <s v="month"/>
    <x v="169"/>
    <x v="1"/>
    <x v="1"/>
  </r>
  <r>
    <n v="218046034"/>
    <x v="299"/>
    <x v="349"/>
    <x v="0"/>
    <n v="39"/>
    <s v="month"/>
    <x v="39"/>
    <x v="1"/>
    <x v="1"/>
  </r>
  <r>
    <n v="217697744"/>
    <x v="299"/>
    <x v="282"/>
    <x v="0"/>
    <n v="39"/>
    <s v="month"/>
    <x v="62"/>
    <x v="1"/>
    <x v="1"/>
  </r>
  <r>
    <n v="217942738"/>
    <x v="300"/>
    <x v="0"/>
    <x v="0"/>
    <n v="39"/>
    <s v="month"/>
    <x v="0"/>
    <x v="2"/>
    <x v="1"/>
  </r>
  <r>
    <n v="218133628"/>
    <x v="300"/>
    <x v="0"/>
    <x v="0"/>
    <n v="39"/>
    <s v="month"/>
    <x v="0"/>
    <x v="2"/>
    <x v="1"/>
  </r>
  <r>
    <n v="118508852"/>
    <x v="300"/>
    <x v="0"/>
    <x v="0"/>
    <n v="39"/>
    <s v="month"/>
    <x v="0"/>
    <x v="2"/>
    <x v="1"/>
  </r>
  <r>
    <n v="218120267"/>
    <x v="300"/>
    <x v="0"/>
    <x v="0"/>
    <n v="39"/>
    <s v="month"/>
    <x v="0"/>
    <x v="2"/>
    <x v="1"/>
  </r>
  <r>
    <n v="218095541"/>
    <x v="300"/>
    <x v="0"/>
    <x v="0"/>
    <n v="39"/>
    <s v="month"/>
    <x v="0"/>
    <x v="2"/>
    <x v="1"/>
  </r>
  <r>
    <n v="217626801"/>
    <x v="300"/>
    <x v="0"/>
    <x v="0"/>
    <n v="39"/>
    <s v="month"/>
    <x v="0"/>
    <x v="2"/>
    <x v="1"/>
  </r>
  <r>
    <n v="151555660"/>
    <x v="300"/>
    <x v="335"/>
    <x v="0"/>
    <n v="39"/>
    <s v="month"/>
    <x v="94"/>
    <x v="2"/>
    <x v="1"/>
  </r>
  <r>
    <n v="217110820"/>
    <x v="300"/>
    <x v="236"/>
    <x v="0"/>
    <n v="39"/>
    <s v="month"/>
    <x v="36"/>
    <x v="2"/>
    <x v="1"/>
  </r>
  <r>
    <n v="217932519"/>
    <x v="300"/>
    <x v="335"/>
    <x v="0"/>
    <n v="39"/>
    <s v="month"/>
    <x v="94"/>
    <x v="2"/>
    <x v="1"/>
  </r>
  <r>
    <n v="218164848"/>
    <x v="301"/>
    <x v="0"/>
    <x v="0"/>
    <n v="39"/>
    <s v="month"/>
    <x v="0"/>
    <x v="3"/>
    <x v="1"/>
  </r>
  <r>
    <n v="217526484"/>
    <x v="301"/>
    <x v="0"/>
    <x v="0"/>
    <n v="39"/>
    <s v="month"/>
    <x v="0"/>
    <x v="3"/>
    <x v="1"/>
  </r>
  <r>
    <n v="214940948"/>
    <x v="301"/>
    <x v="0"/>
    <x v="0"/>
    <n v="39"/>
    <s v="month"/>
    <x v="0"/>
    <x v="3"/>
    <x v="1"/>
  </r>
  <r>
    <n v="218144586"/>
    <x v="301"/>
    <x v="0"/>
    <x v="0"/>
    <n v="39"/>
    <s v="month"/>
    <x v="0"/>
    <x v="3"/>
    <x v="1"/>
  </r>
  <r>
    <n v="217863596"/>
    <x v="301"/>
    <x v="339"/>
    <x v="0"/>
    <n v="39"/>
    <s v="month"/>
    <x v="78"/>
    <x v="3"/>
    <x v="1"/>
  </r>
  <r>
    <n v="218098580"/>
    <x v="301"/>
    <x v="211"/>
    <x v="0"/>
    <n v="39"/>
    <s v="month"/>
    <x v="26"/>
    <x v="3"/>
    <x v="1"/>
  </r>
  <r>
    <n v="215602271"/>
    <x v="301"/>
    <x v="282"/>
    <x v="0"/>
    <n v="39"/>
    <s v="month"/>
    <x v="9"/>
    <x v="3"/>
    <x v="1"/>
  </r>
  <r>
    <n v="218202086"/>
    <x v="302"/>
    <x v="0"/>
    <x v="0"/>
    <n v="39"/>
    <s v="month"/>
    <x v="0"/>
    <x v="4"/>
    <x v="1"/>
  </r>
  <r>
    <n v="217927897"/>
    <x v="302"/>
    <x v="0"/>
    <x v="0"/>
    <n v="39"/>
    <s v="month"/>
    <x v="0"/>
    <x v="4"/>
    <x v="1"/>
  </r>
  <r>
    <n v="217856402"/>
    <x v="302"/>
    <x v="0"/>
    <x v="0"/>
    <n v="39"/>
    <s v="month"/>
    <x v="0"/>
    <x v="4"/>
    <x v="1"/>
  </r>
  <r>
    <n v="217588559"/>
    <x v="302"/>
    <x v="0"/>
    <x v="0"/>
    <n v="39"/>
    <s v="month"/>
    <x v="0"/>
    <x v="4"/>
    <x v="1"/>
  </r>
  <r>
    <n v="212136438"/>
    <x v="302"/>
    <x v="0"/>
    <x v="0"/>
    <n v="39"/>
    <s v="month"/>
    <x v="0"/>
    <x v="4"/>
    <x v="1"/>
  </r>
  <r>
    <n v="138548670"/>
    <x v="302"/>
    <x v="0"/>
    <x v="0"/>
    <n v="39"/>
    <s v="month"/>
    <x v="0"/>
    <x v="4"/>
    <x v="1"/>
  </r>
  <r>
    <n v="217588559"/>
    <x v="302"/>
    <x v="244"/>
    <x v="0"/>
    <n v="39"/>
    <s v="month"/>
    <x v="11"/>
    <x v="4"/>
    <x v="1"/>
  </r>
  <r>
    <n v="171893540"/>
    <x v="302"/>
    <x v="339"/>
    <x v="0"/>
    <n v="39"/>
    <s v="month"/>
    <x v="122"/>
    <x v="4"/>
    <x v="1"/>
  </r>
  <r>
    <n v="202412363"/>
    <x v="302"/>
    <x v="357"/>
    <x v="0"/>
    <n v="39"/>
    <s v="month"/>
    <x v="184"/>
    <x v="4"/>
    <x v="1"/>
  </r>
  <r>
    <n v="218129311"/>
    <x v="302"/>
    <x v="195"/>
    <x v="0"/>
    <n v="39"/>
    <s v="month"/>
    <x v="87"/>
    <x v="4"/>
    <x v="1"/>
  </r>
  <r>
    <n v="218092565"/>
    <x v="302"/>
    <x v="195"/>
    <x v="0"/>
    <n v="39"/>
    <s v="month"/>
    <x v="87"/>
    <x v="4"/>
    <x v="1"/>
  </r>
  <r>
    <n v="150436862"/>
    <x v="303"/>
    <x v="0"/>
    <x v="0"/>
    <n v="39"/>
    <s v="month"/>
    <x v="0"/>
    <x v="5"/>
    <x v="1"/>
  </r>
  <r>
    <n v="218211840"/>
    <x v="303"/>
    <x v="0"/>
    <x v="0"/>
    <n v="39"/>
    <s v="month"/>
    <x v="0"/>
    <x v="5"/>
    <x v="1"/>
  </r>
  <r>
    <n v="218235209"/>
    <x v="303"/>
    <x v="0"/>
    <x v="0"/>
    <n v="39"/>
    <s v="month"/>
    <x v="0"/>
    <x v="5"/>
    <x v="1"/>
  </r>
  <r>
    <n v="132631414"/>
    <x v="303"/>
    <x v="0"/>
    <x v="0"/>
    <n v="39"/>
    <s v="month"/>
    <x v="0"/>
    <x v="5"/>
    <x v="1"/>
  </r>
  <r>
    <n v="218254260"/>
    <x v="303"/>
    <x v="0"/>
    <x v="0"/>
    <n v="39"/>
    <s v="month"/>
    <x v="0"/>
    <x v="5"/>
    <x v="1"/>
  </r>
  <r>
    <n v="218095604"/>
    <x v="303"/>
    <x v="0"/>
    <x v="0"/>
    <n v="39"/>
    <s v="month"/>
    <x v="0"/>
    <x v="5"/>
    <x v="1"/>
  </r>
  <r>
    <n v="147845964"/>
    <x v="303"/>
    <x v="255"/>
    <x v="0"/>
    <n v="39"/>
    <s v="month"/>
    <x v="11"/>
    <x v="5"/>
    <x v="1"/>
  </r>
  <r>
    <n v="218242871"/>
    <x v="303"/>
    <x v="236"/>
    <x v="0"/>
    <n v="39"/>
    <s v="month"/>
    <x v="28"/>
    <x v="5"/>
    <x v="1"/>
  </r>
  <r>
    <n v="218238016"/>
    <x v="303"/>
    <x v="302"/>
    <x v="0"/>
    <n v="39"/>
    <s v="month"/>
    <x v="94"/>
    <x v="5"/>
    <x v="1"/>
  </r>
  <r>
    <n v="217387951"/>
    <x v="303"/>
    <x v="236"/>
    <x v="0"/>
    <n v="39"/>
    <s v="month"/>
    <x v="28"/>
    <x v="5"/>
    <x v="1"/>
  </r>
  <r>
    <n v="218236754"/>
    <x v="303"/>
    <x v="279"/>
    <x v="0"/>
    <n v="39"/>
    <s v="month"/>
    <x v="42"/>
    <x v="5"/>
    <x v="1"/>
  </r>
  <r>
    <n v="218307564"/>
    <x v="304"/>
    <x v="0"/>
    <x v="0"/>
    <n v="39"/>
    <s v="month"/>
    <x v="0"/>
    <x v="6"/>
    <x v="1"/>
  </r>
  <r>
    <n v="150521180"/>
    <x v="304"/>
    <x v="0"/>
    <x v="0"/>
    <n v="39"/>
    <s v="month"/>
    <x v="0"/>
    <x v="6"/>
    <x v="1"/>
  </r>
  <r>
    <n v="135240372"/>
    <x v="304"/>
    <x v="0"/>
    <x v="0"/>
    <n v="39"/>
    <s v="month"/>
    <x v="0"/>
    <x v="6"/>
    <x v="1"/>
  </r>
  <r>
    <n v="218275834"/>
    <x v="304"/>
    <x v="0"/>
    <x v="0"/>
    <n v="39"/>
    <s v="month"/>
    <x v="0"/>
    <x v="6"/>
    <x v="1"/>
  </r>
  <r>
    <n v="218028076"/>
    <x v="304"/>
    <x v="0"/>
    <x v="0"/>
    <n v="39"/>
    <s v="month"/>
    <x v="0"/>
    <x v="6"/>
    <x v="1"/>
  </r>
  <r>
    <n v="164254865"/>
    <x v="304"/>
    <x v="0"/>
    <x v="0"/>
    <n v="39"/>
    <s v="month"/>
    <x v="0"/>
    <x v="6"/>
    <x v="1"/>
  </r>
  <r>
    <n v="218274904"/>
    <x v="304"/>
    <x v="241"/>
    <x v="1"/>
    <n v="39"/>
    <s v="month"/>
    <x v="1"/>
    <x v="6"/>
    <x v="1"/>
  </r>
  <r>
    <n v="208473540"/>
    <x v="304"/>
    <x v="359"/>
    <x v="0"/>
    <n v="39"/>
    <s v="month"/>
    <x v="197"/>
    <x v="6"/>
    <x v="1"/>
  </r>
  <r>
    <n v="218233516"/>
    <x v="304"/>
    <x v="98"/>
    <x v="0"/>
    <n v="39"/>
    <s v="month"/>
    <x v="36"/>
    <x v="6"/>
    <x v="1"/>
  </r>
  <r>
    <n v="218261606"/>
    <x v="304"/>
    <x v="351"/>
    <x v="0"/>
    <n v="39"/>
    <s v="month"/>
    <x v="102"/>
    <x v="6"/>
    <x v="1"/>
  </r>
  <r>
    <n v="218289472"/>
    <x v="304"/>
    <x v="241"/>
    <x v="0"/>
    <n v="39"/>
    <s v="month"/>
    <x v="1"/>
    <x v="6"/>
    <x v="1"/>
  </r>
  <r>
    <n v="215946425"/>
    <x v="304"/>
    <x v="360"/>
    <x v="0"/>
    <n v="39"/>
    <s v="month"/>
    <x v="15"/>
    <x v="6"/>
    <x v="1"/>
  </r>
  <r>
    <n v="218284850"/>
    <x v="304"/>
    <x v="360"/>
    <x v="0"/>
    <n v="39"/>
    <s v="month"/>
    <x v="15"/>
    <x v="6"/>
    <x v="1"/>
  </r>
  <r>
    <n v="202151053"/>
    <x v="305"/>
    <x v="0"/>
    <x v="0"/>
    <n v="39"/>
    <s v="month"/>
    <x v="0"/>
    <x v="0"/>
    <x v="1"/>
  </r>
  <r>
    <n v="112301350"/>
    <x v="305"/>
    <x v="0"/>
    <x v="0"/>
    <n v="39"/>
    <s v="month"/>
    <x v="0"/>
    <x v="0"/>
    <x v="1"/>
  </r>
  <r>
    <n v="218300918"/>
    <x v="305"/>
    <x v="0"/>
    <x v="0"/>
    <n v="39"/>
    <s v="month"/>
    <x v="0"/>
    <x v="0"/>
    <x v="1"/>
  </r>
  <r>
    <n v="205452800"/>
    <x v="305"/>
    <x v="0"/>
    <x v="0"/>
    <n v="39"/>
    <s v="month"/>
    <x v="0"/>
    <x v="0"/>
    <x v="1"/>
  </r>
  <r>
    <n v="218278300"/>
    <x v="305"/>
    <x v="0"/>
    <x v="0"/>
    <n v="39"/>
    <s v="month"/>
    <x v="0"/>
    <x v="0"/>
    <x v="1"/>
  </r>
  <r>
    <n v="216920844"/>
    <x v="305"/>
    <x v="0"/>
    <x v="0"/>
    <n v="39"/>
    <s v="month"/>
    <x v="0"/>
    <x v="0"/>
    <x v="1"/>
  </r>
  <r>
    <n v="127100688"/>
    <x v="305"/>
    <x v="305"/>
    <x v="0"/>
    <n v="39"/>
    <s v="month"/>
    <x v="62"/>
    <x v="0"/>
    <x v="1"/>
  </r>
  <r>
    <n v="218345379"/>
    <x v="305"/>
    <x v="283"/>
    <x v="0"/>
    <n v="39"/>
    <s v="month"/>
    <x v="87"/>
    <x v="0"/>
    <x v="1"/>
  </r>
  <r>
    <n v="183507186"/>
    <x v="305"/>
    <x v="310"/>
    <x v="0"/>
    <n v="39"/>
    <s v="month"/>
    <x v="28"/>
    <x v="0"/>
    <x v="1"/>
  </r>
  <r>
    <n v="218133430"/>
    <x v="306"/>
    <x v="0"/>
    <x v="0"/>
    <n v="39"/>
    <s v="month"/>
    <x v="0"/>
    <x v="1"/>
    <x v="1"/>
  </r>
  <r>
    <n v="147813476"/>
    <x v="306"/>
    <x v="0"/>
    <x v="0"/>
    <n v="39"/>
    <s v="month"/>
    <x v="0"/>
    <x v="1"/>
    <x v="1"/>
  </r>
  <r>
    <n v="218375754"/>
    <x v="306"/>
    <x v="0"/>
    <x v="0"/>
    <n v="39"/>
    <s v="month"/>
    <x v="0"/>
    <x v="1"/>
    <x v="1"/>
  </r>
  <r>
    <n v="216000482"/>
    <x v="306"/>
    <x v="0"/>
    <x v="0"/>
    <n v="39"/>
    <s v="month"/>
    <x v="0"/>
    <x v="1"/>
    <x v="1"/>
  </r>
  <r>
    <n v="161549477"/>
    <x v="306"/>
    <x v="0"/>
    <x v="0"/>
    <n v="39"/>
    <s v="month"/>
    <x v="0"/>
    <x v="1"/>
    <x v="1"/>
  </r>
  <r>
    <n v="133444654"/>
    <x v="306"/>
    <x v="337"/>
    <x v="0"/>
    <n v="39"/>
    <s v="month"/>
    <x v="175"/>
    <x v="1"/>
    <x v="1"/>
  </r>
  <r>
    <n v="217883594"/>
    <x v="306"/>
    <x v="282"/>
    <x v="0"/>
    <n v="39"/>
    <s v="month"/>
    <x v="40"/>
    <x v="1"/>
    <x v="1"/>
  </r>
  <r>
    <n v="197752733"/>
    <x v="307"/>
    <x v="0"/>
    <x v="0"/>
    <n v="39"/>
    <s v="month"/>
    <x v="0"/>
    <x v="2"/>
    <x v="1"/>
  </r>
  <r>
    <n v="175884318"/>
    <x v="307"/>
    <x v="0"/>
    <x v="0"/>
    <n v="39"/>
    <s v="month"/>
    <x v="0"/>
    <x v="2"/>
    <x v="1"/>
  </r>
  <r>
    <n v="218413958"/>
    <x v="307"/>
    <x v="0"/>
    <x v="0"/>
    <n v="39"/>
    <s v="month"/>
    <x v="0"/>
    <x v="2"/>
    <x v="1"/>
  </r>
  <r>
    <n v="218434925"/>
    <x v="307"/>
    <x v="0"/>
    <x v="0"/>
    <n v="39"/>
    <s v="month"/>
    <x v="0"/>
    <x v="2"/>
    <x v="1"/>
  </r>
  <r>
    <n v="156817946"/>
    <x v="307"/>
    <x v="0"/>
    <x v="0"/>
    <n v="39"/>
    <s v="month"/>
    <x v="0"/>
    <x v="2"/>
    <x v="1"/>
  </r>
  <r>
    <n v="218427268"/>
    <x v="307"/>
    <x v="0"/>
    <x v="0"/>
    <n v="39"/>
    <s v="month"/>
    <x v="0"/>
    <x v="2"/>
    <x v="1"/>
  </r>
  <r>
    <n v="208492287"/>
    <x v="307"/>
    <x v="0"/>
    <x v="0"/>
    <n v="39"/>
    <s v="month"/>
    <x v="0"/>
    <x v="2"/>
    <x v="1"/>
  </r>
  <r>
    <n v="217499098"/>
    <x v="307"/>
    <x v="325"/>
    <x v="0"/>
    <n v="39"/>
    <s v="month"/>
    <x v="1"/>
    <x v="2"/>
    <x v="1"/>
  </r>
  <r>
    <n v="215723331"/>
    <x v="307"/>
    <x v="334"/>
    <x v="0"/>
    <n v="39"/>
    <s v="month"/>
    <x v="87"/>
    <x v="2"/>
    <x v="1"/>
  </r>
  <r>
    <n v="122616074"/>
    <x v="308"/>
    <x v="0"/>
    <x v="0"/>
    <n v="39"/>
    <s v="month"/>
    <x v="0"/>
    <x v="3"/>
    <x v="1"/>
  </r>
  <r>
    <n v="218367490"/>
    <x v="308"/>
    <x v="0"/>
    <x v="0"/>
    <n v="39"/>
    <s v="month"/>
    <x v="0"/>
    <x v="3"/>
    <x v="1"/>
  </r>
  <r>
    <n v="218415420"/>
    <x v="308"/>
    <x v="0"/>
    <x v="0"/>
    <n v="39"/>
    <s v="month"/>
    <x v="0"/>
    <x v="3"/>
    <x v="1"/>
  </r>
  <r>
    <n v="135785962"/>
    <x v="308"/>
    <x v="0"/>
    <x v="0"/>
    <n v="39"/>
    <s v="month"/>
    <x v="0"/>
    <x v="3"/>
    <x v="1"/>
  </r>
  <r>
    <n v="206121650"/>
    <x v="308"/>
    <x v="337"/>
    <x v="0"/>
    <n v="39"/>
    <s v="month"/>
    <x v="1"/>
    <x v="3"/>
    <x v="1"/>
  </r>
  <r>
    <n v="218129819"/>
    <x v="308"/>
    <x v="204"/>
    <x v="0"/>
    <n v="39"/>
    <s v="month"/>
    <x v="9"/>
    <x v="3"/>
    <x v="1"/>
  </r>
  <r>
    <n v="217766676"/>
    <x v="308"/>
    <x v="282"/>
    <x v="0"/>
    <n v="39"/>
    <s v="month"/>
    <x v="23"/>
    <x v="3"/>
    <x v="1"/>
  </r>
  <r>
    <n v="216886336"/>
    <x v="309"/>
    <x v="0"/>
    <x v="0"/>
    <n v="39"/>
    <s v="month"/>
    <x v="0"/>
    <x v="4"/>
    <x v="1"/>
  </r>
  <r>
    <n v="217991032"/>
    <x v="309"/>
    <x v="0"/>
    <x v="0"/>
    <n v="39"/>
    <s v="month"/>
    <x v="0"/>
    <x v="4"/>
    <x v="1"/>
  </r>
  <r>
    <n v="145797162"/>
    <x v="309"/>
    <x v="0"/>
    <x v="0"/>
    <n v="39"/>
    <s v="month"/>
    <x v="0"/>
    <x v="4"/>
    <x v="1"/>
  </r>
  <r>
    <n v="217581606"/>
    <x v="309"/>
    <x v="0"/>
    <x v="0"/>
    <n v="39"/>
    <s v="month"/>
    <x v="0"/>
    <x v="4"/>
    <x v="1"/>
  </r>
  <r>
    <n v="218459038"/>
    <x v="309"/>
    <x v="279"/>
    <x v="0"/>
    <n v="39"/>
    <s v="month"/>
    <x v="1"/>
    <x v="4"/>
    <x v="1"/>
  </r>
  <r>
    <n v="218526124"/>
    <x v="309"/>
    <x v="279"/>
    <x v="1"/>
    <n v="39"/>
    <s v="month"/>
    <x v="1"/>
    <x v="4"/>
    <x v="1"/>
  </r>
  <r>
    <n v="216335430"/>
    <x v="309"/>
    <x v="337"/>
    <x v="1"/>
    <n v="39"/>
    <s v="month"/>
    <x v="11"/>
    <x v="4"/>
    <x v="1"/>
  </r>
  <r>
    <n v="218519862"/>
    <x v="309"/>
    <x v="279"/>
    <x v="1"/>
    <n v="39"/>
    <s v="month"/>
    <x v="1"/>
    <x v="4"/>
    <x v="1"/>
  </r>
  <r>
    <n v="218496811"/>
    <x v="309"/>
    <x v="337"/>
    <x v="1"/>
    <n v="39"/>
    <s v="month"/>
    <x v="11"/>
    <x v="4"/>
    <x v="1"/>
  </r>
  <r>
    <n v="218490122"/>
    <x v="309"/>
    <x v="279"/>
    <x v="1"/>
    <n v="39"/>
    <s v="month"/>
    <x v="1"/>
    <x v="4"/>
    <x v="1"/>
  </r>
  <r>
    <n v="216337502"/>
    <x v="309"/>
    <x v="337"/>
    <x v="1"/>
    <n v="39"/>
    <s v="month"/>
    <x v="11"/>
    <x v="4"/>
    <x v="1"/>
  </r>
  <r>
    <n v="143111905"/>
    <x v="309"/>
    <x v="351"/>
    <x v="0"/>
    <n v="39"/>
    <s v="month"/>
    <x v="87"/>
    <x v="4"/>
    <x v="1"/>
  </r>
  <r>
    <n v="217709772"/>
    <x v="309"/>
    <x v="328"/>
    <x v="0"/>
    <n v="39"/>
    <s v="month"/>
    <x v="156"/>
    <x v="4"/>
    <x v="1"/>
  </r>
  <r>
    <n v="214924190"/>
    <x v="309"/>
    <x v="195"/>
    <x v="0"/>
    <n v="39"/>
    <s v="month"/>
    <x v="28"/>
    <x v="4"/>
    <x v="1"/>
  </r>
  <r>
    <n v="217914198"/>
    <x v="309"/>
    <x v="354"/>
    <x v="0"/>
    <n v="39"/>
    <s v="month"/>
    <x v="40"/>
    <x v="4"/>
    <x v="1"/>
  </r>
  <r>
    <n v="217773501"/>
    <x v="309"/>
    <x v="337"/>
    <x v="0"/>
    <n v="39"/>
    <s v="month"/>
    <x v="11"/>
    <x v="4"/>
    <x v="1"/>
  </r>
  <r>
    <n v="215311765"/>
    <x v="310"/>
    <x v="0"/>
    <x v="0"/>
    <n v="39"/>
    <s v="month"/>
    <x v="0"/>
    <x v="5"/>
    <x v="1"/>
  </r>
  <r>
    <n v="218554220"/>
    <x v="310"/>
    <x v="0"/>
    <x v="0"/>
    <n v="39"/>
    <s v="month"/>
    <x v="0"/>
    <x v="5"/>
    <x v="1"/>
  </r>
  <r>
    <n v="209743418"/>
    <x v="310"/>
    <x v="0"/>
    <x v="0"/>
    <n v="39"/>
    <s v="month"/>
    <x v="0"/>
    <x v="5"/>
    <x v="1"/>
  </r>
  <r>
    <n v="218553244"/>
    <x v="310"/>
    <x v="0"/>
    <x v="0"/>
    <n v="39"/>
    <s v="month"/>
    <x v="0"/>
    <x v="5"/>
    <x v="1"/>
  </r>
  <r>
    <n v="218548492"/>
    <x v="310"/>
    <x v="0"/>
    <x v="0"/>
    <n v="39"/>
    <s v="month"/>
    <x v="0"/>
    <x v="5"/>
    <x v="1"/>
  </r>
  <r>
    <n v="217958138"/>
    <x v="310"/>
    <x v="0"/>
    <x v="0"/>
    <n v="39"/>
    <s v="month"/>
    <x v="0"/>
    <x v="5"/>
    <x v="1"/>
  </r>
  <r>
    <n v="218365623"/>
    <x v="310"/>
    <x v="0"/>
    <x v="0"/>
    <n v="39"/>
    <s v="month"/>
    <x v="0"/>
    <x v="5"/>
    <x v="1"/>
  </r>
  <r>
    <n v="218512642"/>
    <x v="310"/>
    <x v="0"/>
    <x v="0"/>
    <n v="39"/>
    <s v="month"/>
    <x v="0"/>
    <x v="5"/>
    <x v="1"/>
  </r>
  <r>
    <n v="218569099"/>
    <x v="310"/>
    <x v="294"/>
    <x v="0"/>
    <n v="39"/>
    <s v="month"/>
    <x v="109"/>
    <x v="5"/>
    <x v="1"/>
  </r>
  <r>
    <n v="218304590"/>
    <x v="310"/>
    <x v="211"/>
    <x v="0"/>
    <n v="39"/>
    <s v="month"/>
    <x v="43"/>
    <x v="5"/>
    <x v="1"/>
  </r>
  <r>
    <n v="215390636"/>
    <x v="310"/>
    <x v="290"/>
    <x v="0"/>
    <n v="39"/>
    <s v="month"/>
    <x v="27"/>
    <x v="5"/>
    <x v="1"/>
  </r>
  <r>
    <n v="218538760"/>
    <x v="310"/>
    <x v="63"/>
    <x v="0"/>
    <n v="39"/>
    <s v="month"/>
    <x v="87"/>
    <x v="5"/>
    <x v="1"/>
  </r>
  <r>
    <n v="218544489"/>
    <x v="310"/>
    <x v="301"/>
    <x v="0"/>
    <n v="39"/>
    <s v="month"/>
    <x v="28"/>
    <x v="5"/>
    <x v="1"/>
  </r>
  <r>
    <n v="180161087"/>
    <x v="310"/>
    <x v="195"/>
    <x v="0"/>
    <n v="39"/>
    <s v="month"/>
    <x v="35"/>
    <x v="5"/>
    <x v="1"/>
  </r>
  <r>
    <n v="218484551"/>
    <x v="310"/>
    <x v="63"/>
    <x v="0"/>
    <n v="39"/>
    <s v="month"/>
    <x v="87"/>
    <x v="5"/>
    <x v="1"/>
  </r>
  <r>
    <n v="218570737"/>
    <x v="310"/>
    <x v="315"/>
    <x v="0"/>
    <n v="39"/>
    <s v="month"/>
    <x v="1"/>
    <x v="5"/>
    <x v="1"/>
  </r>
  <r>
    <n v="218526607"/>
    <x v="311"/>
    <x v="0"/>
    <x v="0"/>
    <n v="39"/>
    <s v="month"/>
    <x v="0"/>
    <x v="6"/>
    <x v="1"/>
  </r>
  <r>
    <n v="211011508"/>
    <x v="311"/>
    <x v="0"/>
    <x v="0"/>
    <n v="39"/>
    <s v="month"/>
    <x v="0"/>
    <x v="6"/>
    <x v="1"/>
  </r>
  <r>
    <n v="218610100"/>
    <x v="311"/>
    <x v="0"/>
    <x v="0"/>
    <n v="39"/>
    <s v="month"/>
    <x v="0"/>
    <x v="6"/>
    <x v="1"/>
  </r>
  <r>
    <n v="206055148"/>
    <x v="311"/>
    <x v="0"/>
    <x v="0"/>
    <n v="39"/>
    <s v="month"/>
    <x v="0"/>
    <x v="6"/>
    <x v="1"/>
  </r>
  <r>
    <n v="150509877"/>
    <x v="311"/>
    <x v="0"/>
    <x v="0"/>
    <n v="39"/>
    <s v="month"/>
    <x v="0"/>
    <x v="6"/>
    <x v="1"/>
  </r>
  <r>
    <n v="218498112"/>
    <x v="311"/>
    <x v="0"/>
    <x v="0"/>
    <n v="39"/>
    <s v="month"/>
    <x v="0"/>
    <x v="6"/>
    <x v="1"/>
  </r>
  <r>
    <n v="218624538"/>
    <x v="311"/>
    <x v="313"/>
    <x v="0"/>
    <n v="39"/>
    <s v="month"/>
    <x v="80"/>
    <x v="6"/>
    <x v="1"/>
  </r>
  <r>
    <n v="218467300"/>
    <x v="311"/>
    <x v="283"/>
    <x v="0"/>
    <n v="39"/>
    <s v="month"/>
    <x v="50"/>
    <x v="6"/>
    <x v="1"/>
  </r>
  <r>
    <n v="218509554"/>
    <x v="311"/>
    <x v="357"/>
    <x v="0"/>
    <n v="39"/>
    <s v="month"/>
    <x v="79"/>
    <x v="6"/>
    <x v="1"/>
  </r>
  <r>
    <n v="218257588"/>
    <x v="312"/>
    <x v="0"/>
    <x v="0"/>
    <n v="39"/>
    <s v="month"/>
    <x v="0"/>
    <x v="0"/>
    <x v="1"/>
  </r>
  <r>
    <n v="218114325"/>
    <x v="312"/>
    <x v="0"/>
    <x v="0"/>
    <n v="39"/>
    <s v="month"/>
    <x v="0"/>
    <x v="0"/>
    <x v="1"/>
  </r>
  <r>
    <n v="218325441"/>
    <x v="312"/>
    <x v="0"/>
    <x v="0"/>
    <n v="39"/>
    <s v="month"/>
    <x v="0"/>
    <x v="0"/>
    <x v="1"/>
  </r>
  <r>
    <n v="218235047"/>
    <x v="312"/>
    <x v="0"/>
    <x v="0"/>
    <n v="39"/>
    <s v="month"/>
    <x v="0"/>
    <x v="0"/>
    <x v="1"/>
  </r>
  <r>
    <n v="218598866"/>
    <x v="312"/>
    <x v="0"/>
    <x v="0"/>
    <n v="39"/>
    <s v="month"/>
    <x v="0"/>
    <x v="0"/>
    <x v="1"/>
  </r>
  <r>
    <n v="218644881"/>
    <x v="312"/>
    <x v="55"/>
    <x v="0"/>
    <n v="39"/>
    <s v="month"/>
    <x v="36"/>
    <x v="0"/>
    <x v="1"/>
  </r>
  <r>
    <n v="218509727"/>
    <x v="312"/>
    <x v="252"/>
    <x v="0"/>
    <n v="39"/>
    <s v="month"/>
    <x v="62"/>
    <x v="0"/>
    <x v="1"/>
  </r>
  <r>
    <n v="150623785"/>
    <x v="312"/>
    <x v="332"/>
    <x v="0"/>
    <n v="39"/>
    <s v="month"/>
    <x v="50"/>
    <x v="0"/>
    <x v="1"/>
  </r>
  <r>
    <n v="218586552"/>
    <x v="312"/>
    <x v="332"/>
    <x v="0"/>
    <n v="39"/>
    <s v="month"/>
    <x v="50"/>
    <x v="0"/>
    <x v="1"/>
  </r>
  <r>
    <n v="218514844"/>
    <x v="312"/>
    <x v="316"/>
    <x v="0"/>
    <n v="39"/>
    <s v="month"/>
    <x v="37"/>
    <x v="0"/>
    <x v="1"/>
  </r>
  <r>
    <n v="218694806"/>
    <x v="313"/>
    <x v="0"/>
    <x v="0"/>
    <n v="39"/>
    <s v="month"/>
    <x v="0"/>
    <x v="1"/>
    <x v="1"/>
  </r>
  <r>
    <n v="218678174"/>
    <x v="313"/>
    <x v="0"/>
    <x v="0"/>
    <n v="39"/>
    <s v="month"/>
    <x v="0"/>
    <x v="1"/>
    <x v="1"/>
  </r>
  <r>
    <n v="218695487"/>
    <x v="313"/>
    <x v="359"/>
    <x v="0"/>
    <n v="39"/>
    <s v="month"/>
    <x v="109"/>
    <x v="1"/>
    <x v="1"/>
  </r>
  <r>
    <n v="218678790"/>
    <x v="313"/>
    <x v="190"/>
    <x v="0"/>
    <n v="39"/>
    <s v="month"/>
    <x v="87"/>
    <x v="1"/>
    <x v="1"/>
  </r>
  <r>
    <n v="217499098"/>
    <x v="313"/>
    <x v="190"/>
    <x v="0"/>
    <n v="39"/>
    <s v="month"/>
    <x v="87"/>
    <x v="1"/>
    <x v="1"/>
  </r>
  <r>
    <n v="217976753"/>
    <x v="313"/>
    <x v="190"/>
    <x v="0"/>
    <n v="39"/>
    <s v="month"/>
    <x v="87"/>
    <x v="1"/>
    <x v="1"/>
  </r>
  <r>
    <n v="199359226"/>
    <x v="313"/>
    <x v="348"/>
    <x v="0"/>
    <n v="39"/>
    <s v="month"/>
    <x v="1"/>
    <x v="1"/>
    <x v="1"/>
  </r>
  <r>
    <n v="121814098"/>
    <x v="314"/>
    <x v="0"/>
    <x v="0"/>
    <n v="39"/>
    <s v="month"/>
    <x v="0"/>
    <x v="2"/>
    <x v="1"/>
  </r>
  <r>
    <n v="215605718"/>
    <x v="314"/>
    <x v="0"/>
    <x v="0"/>
    <n v="39"/>
    <s v="month"/>
    <x v="0"/>
    <x v="2"/>
    <x v="1"/>
  </r>
  <r>
    <n v="218325705"/>
    <x v="314"/>
    <x v="0"/>
    <x v="0"/>
    <n v="39"/>
    <s v="month"/>
    <x v="0"/>
    <x v="2"/>
    <x v="1"/>
  </r>
  <r>
    <n v="208598253"/>
    <x v="314"/>
    <x v="0"/>
    <x v="0"/>
    <n v="39"/>
    <s v="month"/>
    <x v="0"/>
    <x v="2"/>
    <x v="1"/>
  </r>
  <r>
    <n v="218655628"/>
    <x v="314"/>
    <x v="0"/>
    <x v="0"/>
    <n v="39"/>
    <s v="month"/>
    <x v="0"/>
    <x v="2"/>
    <x v="1"/>
  </r>
  <r>
    <n v="185602413"/>
    <x v="314"/>
    <x v="249"/>
    <x v="0"/>
    <n v="39"/>
    <s v="month"/>
    <x v="1"/>
    <x v="2"/>
    <x v="1"/>
  </r>
  <r>
    <n v="154082747"/>
    <x v="314"/>
    <x v="205"/>
    <x v="0"/>
    <n v="39"/>
    <s v="month"/>
    <x v="63"/>
    <x v="2"/>
    <x v="1"/>
  </r>
  <r>
    <n v="218017402"/>
    <x v="314"/>
    <x v="313"/>
    <x v="0"/>
    <n v="39"/>
    <s v="month"/>
    <x v="87"/>
    <x v="2"/>
    <x v="1"/>
  </r>
  <r>
    <n v="218792880"/>
    <x v="315"/>
    <x v="0"/>
    <x v="0"/>
    <n v="39"/>
    <s v="month"/>
    <x v="0"/>
    <x v="3"/>
    <x v="1"/>
  </r>
  <r>
    <n v="218761808"/>
    <x v="315"/>
    <x v="0"/>
    <x v="0"/>
    <n v="39"/>
    <s v="month"/>
    <x v="0"/>
    <x v="3"/>
    <x v="1"/>
  </r>
  <r>
    <n v="149303812"/>
    <x v="315"/>
    <x v="0"/>
    <x v="0"/>
    <n v="39"/>
    <s v="month"/>
    <x v="0"/>
    <x v="3"/>
    <x v="1"/>
  </r>
  <r>
    <n v="216144261"/>
    <x v="315"/>
    <x v="0"/>
    <x v="0"/>
    <n v="39"/>
    <s v="month"/>
    <x v="0"/>
    <x v="3"/>
    <x v="1"/>
  </r>
  <r>
    <n v="215976742"/>
    <x v="315"/>
    <x v="0"/>
    <x v="0"/>
    <n v="39"/>
    <s v="month"/>
    <x v="0"/>
    <x v="3"/>
    <x v="1"/>
  </r>
  <r>
    <n v="218617631"/>
    <x v="315"/>
    <x v="225"/>
    <x v="0"/>
    <n v="39"/>
    <s v="month"/>
    <x v="87"/>
    <x v="3"/>
    <x v="1"/>
  </r>
  <r>
    <n v="218770458"/>
    <x v="315"/>
    <x v="204"/>
    <x v="0"/>
    <n v="39"/>
    <s v="month"/>
    <x v="23"/>
    <x v="3"/>
    <x v="1"/>
  </r>
  <r>
    <n v="218720472"/>
    <x v="315"/>
    <x v="295"/>
    <x v="0"/>
    <n v="39"/>
    <s v="month"/>
    <x v="36"/>
    <x v="3"/>
    <x v="1"/>
  </r>
  <r>
    <n v="218846909"/>
    <x v="316"/>
    <x v="0"/>
    <x v="0"/>
    <n v="39"/>
    <s v="month"/>
    <x v="0"/>
    <x v="4"/>
    <x v="1"/>
  </r>
  <r>
    <n v="214714278"/>
    <x v="316"/>
    <x v="0"/>
    <x v="0"/>
    <n v="39"/>
    <s v="month"/>
    <x v="0"/>
    <x v="4"/>
    <x v="1"/>
  </r>
  <r>
    <n v="218529158"/>
    <x v="316"/>
    <x v="0"/>
    <x v="0"/>
    <n v="39"/>
    <s v="month"/>
    <x v="0"/>
    <x v="4"/>
    <x v="1"/>
  </r>
  <r>
    <n v="218837719"/>
    <x v="316"/>
    <x v="0"/>
    <x v="0"/>
    <n v="39"/>
    <s v="month"/>
    <x v="0"/>
    <x v="4"/>
    <x v="1"/>
  </r>
  <r>
    <n v="194367477"/>
    <x v="316"/>
    <x v="0"/>
    <x v="0"/>
    <n v="39"/>
    <s v="month"/>
    <x v="0"/>
    <x v="4"/>
    <x v="1"/>
  </r>
  <r>
    <n v="218300066"/>
    <x v="316"/>
    <x v="0"/>
    <x v="0"/>
    <n v="39"/>
    <s v="month"/>
    <x v="0"/>
    <x v="4"/>
    <x v="1"/>
  </r>
  <r>
    <n v="218553583"/>
    <x v="316"/>
    <x v="0"/>
    <x v="0"/>
    <n v="39"/>
    <s v="month"/>
    <x v="0"/>
    <x v="4"/>
    <x v="1"/>
  </r>
  <r>
    <n v="149657162"/>
    <x v="316"/>
    <x v="314"/>
    <x v="0"/>
    <n v="39"/>
    <s v="month"/>
    <x v="1"/>
    <x v="4"/>
    <x v="1"/>
  </r>
  <r>
    <n v="125920876"/>
    <x v="316"/>
    <x v="347"/>
    <x v="0"/>
    <n v="39"/>
    <s v="month"/>
    <x v="87"/>
    <x v="4"/>
    <x v="1"/>
  </r>
  <r>
    <n v="217403566"/>
    <x v="316"/>
    <x v="332"/>
    <x v="0"/>
    <n v="39"/>
    <s v="month"/>
    <x v="44"/>
    <x v="4"/>
    <x v="1"/>
  </r>
  <r>
    <n v="218677370"/>
    <x v="316"/>
    <x v="334"/>
    <x v="0"/>
    <n v="39"/>
    <s v="month"/>
    <x v="72"/>
    <x v="4"/>
    <x v="1"/>
  </r>
  <r>
    <n v="218598875"/>
    <x v="316"/>
    <x v="347"/>
    <x v="0"/>
    <n v="39"/>
    <s v="month"/>
    <x v="87"/>
    <x v="4"/>
    <x v="1"/>
  </r>
  <r>
    <n v="203116529"/>
    <x v="316"/>
    <x v="316"/>
    <x v="0"/>
    <n v="39"/>
    <s v="month"/>
    <x v="11"/>
    <x v="4"/>
    <x v="1"/>
  </r>
  <r>
    <n v="218808831"/>
    <x v="316"/>
    <x v="318"/>
    <x v="0"/>
    <n v="39"/>
    <s v="month"/>
    <x v="192"/>
    <x v="4"/>
    <x v="1"/>
  </r>
  <r>
    <n v="218844240"/>
    <x v="317"/>
    <x v="0"/>
    <x v="0"/>
    <n v="39"/>
    <s v="month"/>
    <x v="0"/>
    <x v="5"/>
    <x v="1"/>
  </r>
  <r>
    <n v="218863419"/>
    <x v="317"/>
    <x v="0"/>
    <x v="0"/>
    <n v="39"/>
    <s v="month"/>
    <x v="0"/>
    <x v="5"/>
    <x v="1"/>
  </r>
  <r>
    <n v="218445704"/>
    <x v="317"/>
    <x v="0"/>
    <x v="0"/>
    <n v="39"/>
    <s v="month"/>
    <x v="0"/>
    <x v="5"/>
    <x v="1"/>
  </r>
  <r>
    <n v="149411976"/>
    <x v="317"/>
    <x v="0"/>
    <x v="0"/>
    <n v="39"/>
    <s v="month"/>
    <x v="0"/>
    <x v="5"/>
    <x v="1"/>
  </r>
  <r>
    <n v="218862674"/>
    <x v="317"/>
    <x v="0"/>
    <x v="0"/>
    <n v="39"/>
    <s v="month"/>
    <x v="0"/>
    <x v="5"/>
    <x v="1"/>
  </r>
  <r>
    <n v="218851122"/>
    <x v="317"/>
    <x v="0"/>
    <x v="0"/>
    <n v="39"/>
    <s v="month"/>
    <x v="0"/>
    <x v="5"/>
    <x v="1"/>
  </r>
  <r>
    <n v="153402484"/>
    <x v="317"/>
    <x v="318"/>
    <x v="0"/>
    <n v="39"/>
    <s v="month"/>
    <x v="19"/>
    <x v="5"/>
    <x v="1"/>
  </r>
  <r>
    <n v="218848831"/>
    <x v="317"/>
    <x v="262"/>
    <x v="0"/>
    <n v="39"/>
    <s v="month"/>
    <x v="179"/>
    <x v="5"/>
    <x v="1"/>
  </r>
  <r>
    <n v="159639128"/>
    <x v="317"/>
    <x v="314"/>
    <x v="0"/>
    <n v="39"/>
    <s v="month"/>
    <x v="11"/>
    <x v="5"/>
    <x v="1"/>
  </r>
  <r>
    <n v="214638700"/>
    <x v="317"/>
    <x v="265"/>
    <x v="1"/>
    <n v="39"/>
    <s v="month"/>
    <x v="1"/>
    <x v="5"/>
    <x v="1"/>
  </r>
  <r>
    <n v="218850789"/>
    <x v="317"/>
    <x v="63"/>
    <x v="0"/>
    <n v="39"/>
    <s v="month"/>
    <x v="28"/>
    <x v="5"/>
    <x v="1"/>
  </r>
  <r>
    <n v="155510287"/>
    <x v="317"/>
    <x v="328"/>
    <x v="0"/>
    <n v="39"/>
    <s v="month"/>
    <x v="9"/>
    <x v="5"/>
    <x v="1"/>
  </r>
  <r>
    <n v="218677703"/>
    <x v="317"/>
    <x v="329"/>
    <x v="0"/>
    <n v="39"/>
    <s v="month"/>
    <x v="230"/>
    <x v="5"/>
    <x v="1"/>
  </r>
  <r>
    <n v="218878930"/>
    <x v="317"/>
    <x v="240"/>
    <x v="0"/>
    <n v="39"/>
    <s v="month"/>
    <x v="208"/>
    <x v="5"/>
    <x v="1"/>
  </r>
  <r>
    <n v="218935022"/>
    <x v="318"/>
    <x v="0"/>
    <x v="0"/>
    <n v="39"/>
    <s v="month"/>
    <x v="0"/>
    <x v="6"/>
    <x v="1"/>
  </r>
  <r>
    <n v="218925198"/>
    <x v="318"/>
    <x v="0"/>
    <x v="0"/>
    <n v="39"/>
    <s v="month"/>
    <x v="0"/>
    <x v="6"/>
    <x v="1"/>
  </r>
  <r>
    <n v="218927120"/>
    <x v="318"/>
    <x v="0"/>
    <x v="0"/>
    <n v="39"/>
    <s v="month"/>
    <x v="0"/>
    <x v="6"/>
    <x v="1"/>
  </r>
  <r>
    <n v="218930176"/>
    <x v="318"/>
    <x v="0"/>
    <x v="0"/>
    <n v="39"/>
    <s v="month"/>
    <x v="0"/>
    <x v="6"/>
    <x v="1"/>
  </r>
  <r>
    <n v="216185482"/>
    <x v="318"/>
    <x v="0"/>
    <x v="0"/>
    <n v="39"/>
    <s v="month"/>
    <x v="0"/>
    <x v="6"/>
    <x v="1"/>
  </r>
  <r>
    <n v="218814342"/>
    <x v="318"/>
    <x v="0"/>
    <x v="0"/>
    <n v="39"/>
    <s v="month"/>
    <x v="0"/>
    <x v="6"/>
    <x v="1"/>
  </r>
  <r>
    <n v="218764310"/>
    <x v="318"/>
    <x v="0"/>
    <x v="0"/>
    <n v="39"/>
    <s v="month"/>
    <x v="0"/>
    <x v="6"/>
    <x v="1"/>
  </r>
  <r>
    <n v="218814328"/>
    <x v="318"/>
    <x v="0"/>
    <x v="0"/>
    <n v="39"/>
    <s v="month"/>
    <x v="0"/>
    <x v="6"/>
    <x v="1"/>
  </r>
  <r>
    <n v="149144586"/>
    <x v="318"/>
    <x v="0"/>
    <x v="0"/>
    <n v="39"/>
    <s v="month"/>
    <x v="0"/>
    <x v="6"/>
    <x v="1"/>
  </r>
  <r>
    <n v="217635511"/>
    <x v="318"/>
    <x v="0"/>
    <x v="0"/>
    <n v="39"/>
    <s v="month"/>
    <x v="0"/>
    <x v="6"/>
    <x v="1"/>
  </r>
  <r>
    <n v="218924256"/>
    <x v="318"/>
    <x v="332"/>
    <x v="0"/>
    <n v="39"/>
    <s v="month"/>
    <x v="20"/>
    <x v="6"/>
    <x v="1"/>
  </r>
  <r>
    <n v="218898552"/>
    <x v="318"/>
    <x v="351"/>
    <x v="0"/>
    <n v="39"/>
    <s v="month"/>
    <x v="72"/>
    <x v="6"/>
    <x v="1"/>
  </r>
  <r>
    <n v="149657162"/>
    <x v="318"/>
    <x v="302"/>
    <x v="0"/>
    <n v="39"/>
    <s v="month"/>
    <x v="192"/>
    <x v="6"/>
    <x v="1"/>
  </r>
  <r>
    <n v="218581958"/>
    <x v="318"/>
    <x v="353"/>
    <x v="0"/>
    <n v="39"/>
    <s v="month"/>
    <x v="42"/>
    <x v="6"/>
    <x v="1"/>
  </r>
  <r>
    <n v="214943384"/>
    <x v="319"/>
    <x v="0"/>
    <x v="0"/>
    <n v="39"/>
    <s v="month"/>
    <x v="0"/>
    <x v="0"/>
    <x v="1"/>
  </r>
  <r>
    <n v="147832373"/>
    <x v="319"/>
    <x v="0"/>
    <x v="0"/>
    <n v="39"/>
    <s v="month"/>
    <x v="0"/>
    <x v="0"/>
    <x v="1"/>
  </r>
  <r>
    <n v="204362311"/>
    <x v="319"/>
    <x v="0"/>
    <x v="0"/>
    <n v="39"/>
    <s v="month"/>
    <x v="0"/>
    <x v="0"/>
    <x v="1"/>
  </r>
  <r>
    <n v="217137211"/>
    <x v="319"/>
    <x v="0"/>
    <x v="0"/>
    <n v="39"/>
    <s v="month"/>
    <x v="0"/>
    <x v="0"/>
    <x v="1"/>
  </r>
  <r>
    <n v="218942852"/>
    <x v="319"/>
    <x v="0"/>
    <x v="0"/>
    <n v="39"/>
    <s v="month"/>
    <x v="0"/>
    <x v="0"/>
    <x v="1"/>
  </r>
  <r>
    <n v="218715020"/>
    <x v="319"/>
    <x v="294"/>
    <x v="0"/>
    <n v="39"/>
    <s v="month"/>
    <x v="155"/>
    <x v="0"/>
    <x v="1"/>
  </r>
  <r>
    <n v="218701308"/>
    <x v="319"/>
    <x v="350"/>
    <x v="0"/>
    <n v="39"/>
    <s v="month"/>
    <x v="1"/>
    <x v="0"/>
    <x v="1"/>
  </r>
  <r>
    <n v="218979443"/>
    <x v="319"/>
    <x v="334"/>
    <x v="0"/>
    <n v="39"/>
    <s v="month"/>
    <x v="20"/>
    <x v="0"/>
    <x v="1"/>
  </r>
  <r>
    <n v="218543315"/>
    <x v="319"/>
    <x v="356"/>
    <x v="0"/>
    <n v="39"/>
    <s v="month"/>
    <x v="192"/>
    <x v="0"/>
    <x v="1"/>
  </r>
  <r>
    <n v="218281726"/>
    <x v="320"/>
    <x v="0"/>
    <x v="0"/>
    <n v="39"/>
    <s v="month"/>
    <x v="0"/>
    <x v="1"/>
    <x v="1"/>
  </r>
  <r>
    <n v="144972422"/>
    <x v="320"/>
    <x v="0"/>
    <x v="0"/>
    <n v="39"/>
    <s v="month"/>
    <x v="0"/>
    <x v="1"/>
    <x v="1"/>
  </r>
  <r>
    <n v="219017513"/>
    <x v="320"/>
    <x v="0"/>
    <x v="0"/>
    <n v="39"/>
    <s v="month"/>
    <x v="0"/>
    <x v="1"/>
    <x v="1"/>
  </r>
  <r>
    <n v="218096762"/>
    <x v="320"/>
    <x v="0"/>
    <x v="0"/>
    <n v="39"/>
    <s v="month"/>
    <x v="0"/>
    <x v="1"/>
    <x v="1"/>
  </r>
  <r>
    <n v="134289850"/>
    <x v="320"/>
    <x v="0"/>
    <x v="0"/>
    <n v="39"/>
    <s v="month"/>
    <x v="0"/>
    <x v="1"/>
    <x v="1"/>
  </r>
  <r>
    <n v="205210815"/>
    <x v="320"/>
    <x v="357"/>
    <x v="0"/>
    <n v="39"/>
    <s v="month"/>
    <x v="1"/>
    <x v="1"/>
    <x v="1"/>
  </r>
  <r>
    <n v="218684970"/>
    <x v="320"/>
    <x v="331"/>
    <x v="0"/>
    <n v="39"/>
    <s v="month"/>
    <x v="87"/>
    <x v="1"/>
    <x v="1"/>
  </r>
  <r>
    <n v="219045318"/>
    <x v="321"/>
    <x v="0"/>
    <x v="0"/>
    <n v="39"/>
    <s v="month"/>
    <x v="0"/>
    <x v="2"/>
    <x v="1"/>
  </r>
  <r>
    <n v="218428977"/>
    <x v="321"/>
    <x v="0"/>
    <x v="0"/>
    <n v="39"/>
    <s v="month"/>
    <x v="0"/>
    <x v="2"/>
    <x v="1"/>
  </r>
  <r>
    <n v="156587706"/>
    <x v="321"/>
    <x v="205"/>
    <x v="1"/>
    <n v="39"/>
    <s v="month"/>
    <x v="1"/>
    <x v="2"/>
    <x v="1"/>
  </r>
  <r>
    <n v="219034826"/>
    <x v="321"/>
    <x v="205"/>
    <x v="1"/>
    <n v="39"/>
    <s v="month"/>
    <x v="1"/>
    <x v="2"/>
    <x v="1"/>
  </r>
  <r>
    <n v="204380751"/>
    <x v="321"/>
    <x v="190"/>
    <x v="0"/>
    <n v="39"/>
    <s v="month"/>
    <x v="35"/>
    <x v="2"/>
    <x v="1"/>
  </r>
  <r>
    <n v="215315438"/>
    <x v="321"/>
    <x v="313"/>
    <x v="0"/>
    <n v="39"/>
    <s v="month"/>
    <x v="28"/>
    <x v="2"/>
    <x v="1"/>
  </r>
  <r>
    <n v="213774184"/>
    <x v="321"/>
    <x v="355"/>
    <x v="0"/>
    <n v="39"/>
    <s v="month"/>
    <x v="87"/>
    <x v="2"/>
    <x v="1"/>
  </r>
  <r>
    <n v="206121650"/>
    <x v="322"/>
    <x v="0"/>
    <x v="0"/>
    <n v="39"/>
    <s v="month"/>
    <x v="0"/>
    <x v="3"/>
    <x v="1"/>
  </r>
  <r>
    <n v="219059958"/>
    <x v="322"/>
    <x v="0"/>
    <x v="0"/>
    <n v="39"/>
    <s v="month"/>
    <x v="0"/>
    <x v="3"/>
    <x v="1"/>
  </r>
  <r>
    <n v="204639997"/>
    <x v="322"/>
    <x v="205"/>
    <x v="0"/>
    <n v="39"/>
    <s v="month"/>
    <x v="11"/>
    <x v="3"/>
    <x v="1"/>
  </r>
  <r>
    <n v="201817514"/>
    <x v="322"/>
    <x v="313"/>
    <x v="0"/>
    <n v="39"/>
    <s v="month"/>
    <x v="35"/>
    <x v="3"/>
    <x v="1"/>
  </r>
  <r>
    <n v="219065931"/>
    <x v="322"/>
    <x v="211"/>
    <x v="0"/>
    <n v="39"/>
    <s v="month"/>
    <x v="87"/>
    <x v="3"/>
    <x v="1"/>
  </r>
  <r>
    <n v="143627373"/>
    <x v="323"/>
    <x v="0"/>
    <x v="0"/>
    <n v="39"/>
    <s v="month"/>
    <x v="0"/>
    <x v="4"/>
    <x v="1"/>
  </r>
  <r>
    <n v="218675428"/>
    <x v="323"/>
    <x v="0"/>
    <x v="0"/>
    <n v="39"/>
    <s v="month"/>
    <x v="0"/>
    <x v="4"/>
    <x v="1"/>
  </r>
  <r>
    <n v="219057820"/>
    <x v="323"/>
    <x v="0"/>
    <x v="0"/>
    <n v="39"/>
    <s v="month"/>
    <x v="0"/>
    <x v="4"/>
    <x v="1"/>
  </r>
  <r>
    <n v="219115854"/>
    <x v="323"/>
    <x v="0"/>
    <x v="0"/>
    <n v="39"/>
    <s v="month"/>
    <x v="0"/>
    <x v="4"/>
    <x v="1"/>
  </r>
  <r>
    <n v="204826054"/>
    <x v="323"/>
    <x v="0"/>
    <x v="0"/>
    <n v="39"/>
    <s v="month"/>
    <x v="0"/>
    <x v="4"/>
    <x v="1"/>
  </r>
  <r>
    <n v="219072554"/>
    <x v="323"/>
    <x v="0"/>
    <x v="0"/>
    <n v="39"/>
    <s v="month"/>
    <x v="0"/>
    <x v="4"/>
    <x v="1"/>
  </r>
  <r>
    <n v="219088631"/>
    <x v="323"/>
    <x v="0"/>
    <x v="0"/>
    <n v="39"/>
    <s v="month"/>
    <x v="0"/>
    <x v="4"/>
    <x v="1"/>
  </r>
  <r>
    <n v="218861750"/>
    <x v="323"/>
    <x v="335"/>
    <x v="0"/>
    <n v="39"/>
    <s v="month"/>
    <x v="87"/>
    <x v="4"/>
    <x v="1"/>
  </r>
  <r>
    <n v="217513777"/>
    <x v="323"/>
    <x v="305"/>
    <x v="0"/>
    <n v="39"/>
    <s v="month"/>
    <x v="173"/>
    <x v="4"/>
    <x v="1"/>
  </r>
  <r>
    <n v="218805370"/>
    <x v="323"/>
    <x v="98"/>
    <x v="0"/>
    <n v="39"/>
    <s v="month"/>
    <x v="134"/>
    <x v="4"/>
    <x v="1"/>
  </r>
  <r>
    <n v="219128709"/>
    <x v="324"/>
    <x v="0"/>
    <x v="0"/>
    <n v="39"/>
    <s v="month"/>
    <x v="0"/>
    <x v="5"/>
    <x v="1"/>
  </r>
  <r>
    <n v="217998036"/>
    <x v="324"/>
    <x v="0"/>
    <x v="0"/>
    <n v="39"/>
    <s v="month"/>
    <x v="0"/>
    <x v="5"/>
    <x v="1"/>
  </r>
  <r>
    <n v="219100886"/>
    <x v="324"/>
    <x v="0"/>
    <x v="0"/>
    <n v="39"/>
    <s v="month"/>
    <x v="0"/>
    <x v="5"/>
    <x v="1"/>
  </r>
  <r>
    <n v="214586480"/>
    <x v="324"/>
    <x v="0"/>
    <x v="0"/>
    <n v="39"/>
    <s v="month"/>
    <x v="0"/>
    <x v="5"/>
    <x v="1"/>
  </r>
  <r>
    <n v="219110064"/>
    <x v="324"/>
    <x v="0"/>
    <x v="0"/>
    <n v="39"/>
    <s v="month"/>
    <x v="0"/>
    <x v="5"/>
    <x v="1"/>
  </r>
  <r>
    <n v="157374056"/>
    <x v="324"/>
    <x v="0"/>
    <x v="0"/>
    <n v="39"/>
    <s v="month"/>
    <x v="0"/>
    <x v="5"/>
    <x v="1"/>
  </r>
  <r>
    <n v="219058076"/>
    <x v="324"/>
    <x v="0"/>
    <x v="0"/>
    <n v="39"/>
    <s v="month"/>
    <x v="0"/>
    <x v="5"/>
    <x v="1"/>
  </r>
  <r>
    <n v="218011483"/>
    <x v="324"/>
    <x v="0"/>
    <x v="0"/>
    <n v="39"/>
    <s v="month"/>
    <x v="0"/>
    <x v="5"/>
    <x v="1"/>
  </r>
  <r>
    <n v="216543186"/>
    <x v="324"/>
    <x v="0"/>
    <x v="0"/>
    <n v="39"/>
    <s v="month"/>
    <x v="0"/>
    <x v="5"/>
    <x v="1"/>
  </r>
  <r>
    <n v="151239214"/>
    <x v="324"/>
    <x v="0"/>
    <x v="0"/>
    <n v="39"/>
    <s v="month"/>
    <x v="0"/>
    <x v="5"/>
    <x v="1"/>
  </r>
  <r>
    <n v="152760748"/>
    <x v="324"/>
    <x v="339"/>
    <x v="0"/>
    <n v="39"/>
    <s v="month"/>
    <x v="20"/>
    <x v="5"/>
    <x v="1"/>
  </r>
  <r>
    <n v="182102820"/>
    <x v="324"/>
    <x v="318"/>
    <x v="0"/>
    <n v="39"/>
    <s v="month"/>
    <x v="87"/>
    <x v="5"/>
    <x v="1"/>
  </r>
  <r>
    <n v="215005163"/>
    <x v="324"/>
    <x v="351"/>
    <x v="0"/>
    <n v="39"/>
    <s v="month"/>
    <x v="182"/>
    <x v="5"/>
    <x v="1"/>
  </r>
  <r>
    <n v="219136846"/>
    <x v="324"/>
    <x v="305"/>
    <x v="0"/>
    <n v="39"/>
    <s v="month"/>
    <x v="63"/>
    <x v="5"/>
    <x v="1"/>
  </r>
  <r>
    <n v="218795222"/>
    <x v="324"/>
    <x v="225"/>
    <x v="0"/>
    <n v="39"/>
    <s v="month"/>
    <x v="72"/>
    <x v="5"/>
    <x v="1"/>
  </r>
  <r>
    <n v="208706876"/>
    <x v="324"/>
    <x v="190"/>
    <x v="0"/>
    <n v="39"/>
    <s v="month"/>
    <x v="62"/>
    <x v="5"/>
    <x v="1"/>
  </r>
  <r>
    <n v="218701308"/>
    <x v="324"/>
    <x v="318"/>
    <x v="0"/>
    <n v="39"/>
    <s v="month"/>
    <x v="87"/>
    <x v="5"/>
    <x v="1"/>
  </r>
  <r>
    <n v="219136623"/>
    <x v="324"/>
    <x v="318"/>
    <x v="0"/>
    <n v="39"/>
    <s v="month"/>
    <x v="87"/>
    <x v="5"/>
    <x v="1"/>
  </r>
  <r>
    <n v="219153922"/>
    <x v="325"/>
    <x v="0"/>
    <x v="0"/>
    <n v="39"/>
    <s v="month"/>
    <x v="0"/>
    <x v="6"/>
    <x v="1"/>
  </r>
  <r>
    <n v="165529460"/>
    <x v="325"/>
    <x v="0"/>
    <x v="0"/>
    <n v="39"/>
    <s v="month"/>
    <x v="0"/>
    <x v="6"/>
    <x v="1"/>
  </r>
  <r>
    <n v="218715792"/>
    <x v="325"/>
    <x v="0"/>
    <x v="0"/>
    <n v="39"/>
    <s v="month"/>
    <x v="0"/>
    <x v="6"/>
    <x v="1"/>
  </r>
  <r>
    <n v="218985028"/>
    <x v="325"/>
    <x v="0"/>
    <x v="0"/>
    <n v="39"/>
    <s v="month"/>
    <x v="0"/>
    <x v="6"/>
    <x v="1"/>
  </r>
  <r>
    <n v="218986352"/>
    <x v="325"/>
    <x v="0"/>
    <x v="0"/>
    <n v="39"/>
    <s v="month"/>
    <x v="0"/>
    <x v="6"/>
    <x v="1"/>
  </r>
  <r>
    <n v="219152822"/>
    <x v="325"/>
    <x v="294"/>
    <x v="0"/>
    <n v="39"/>
    <s v="month"/>
    <x v="80"/>
    <x v="6"/>
    <x v="1"/>
  </r>
  <r>
    <n v="219084587"/>
    <x v="325"/>
    <x v="282"/>
    <x v="1"/>
    <n v="39"/>
    <s v="month"/>
    <x v="1"/>
    <x v="6"/>
    <x v="1"/>
  </r>
  <r>
    <n v="219200064"/>
    <x v="325"/>
    <x v="352"/>
    <x v="0"/>
    <n v="39"/>
    <s v="month"/>
    <x v="87"/>
    <x v="6"/>
    <x v="1"/>
  </r>
  <r>
    <n v="219224963"/>
    <x v="326"/>
    <x v="0"/>
    <x v="0"/>
    <n v="39"/>
    <s v="month"/>
    <x v="0"/>
    <x v="0"/>
    <x v="1"/>
  </r>
  <r>
    <n v="219172302"/>
    <x v="326"/>
    <x v="0"/>
    <x v="0"/>
    <n v="39"/>
    <s v="month"/>
    <x v="0"/>
    <x v="0"/>
    <x v="1"/>
  </r>
  <r>
    <n v="219244336"/>
    <x v="326"/>
    <x v="0"/>
    <x v="0"/>
    <n v="39"/>
    <s v="month"/>
    <x v="0"/>
    <x v="0"/>
    <x v="1"/>
  </r>
  <r>
    <n v="150342446"/>
    <x v="326"/>
    <x v="0"/>
    <x v="0"/>
    <n v="39"/>
    <s v="month"/>
    <x v="0"/>
    <x v="0"/>
    <x v="1"/>
  </r>
  <r>
    <n v="210432172"/>
    <x v="326"/>
    <x v="0"/>
    <x v="0"/>
    <n v="39"/>
    <s v="month"/>
    <x v="0"/>
    <x v="0"/>
    <x v="1"/>
  </r>
  <r>
    <n v="145614180"/>
    <x v="326"/>
    <x v="0"/>
    <x v="0"/>
    <n v="39"/>
    <s v="month"/>
    <x v="0"/>
    <x v="0"/>
    <x v="1"/>
  </r>
  <r>
    <n v="218318466"/>
    <x v="326"/>
    <x v="0"/>
    <x v="0"/>
    <n v="39"/>
    <s v="month"/>
    <x v="0"/>
    <x v="0"/>
    <x v="1"/>
  </r>
  <r>
    <n v="131984682"/>
    <x v="326"/>
    <x v="0"/>
    <x v="0"/>
    <n v="39"/>
    <s v="month"/>
    <x v="0"/>
    <x v="0"/>
    <x v="1"/>
  </r>
  <r>
    <n v="219243156"/>
    <x v="326"/>
    <x v="282"/>
    <x v="0"/>
    <n v="39"/>
    <s v="month"/>
    <x v="11"/>
    <x v="0"/>
    <x v="1"/>
  </r>
  <r>
    <n v="219301778"/>
    <x v="327"/>
    <x v="0"/>
    <x v="0"/>
    <n v="39"/>
    <s v="month"/>
    <x v="0"/>
    <x v="1"/>
    <x v="1"/>
  </r>
  <r>
    <n v="153004062"/>
    <x v="327"/>
    <x v="0"/>
    <x v="0"/>
    <n v="39"/>
    <s v="month"/>
    <x v="0"/>
    <x v="1"/>
    <x v="1"/>
  </r>
  <r>
    <n v="151015350"/>
    <x v="327"/>
    <x v="0"/>
    <x v="0"/>
    <n v="39"/>
    <s v="month"/>
    <x v="0"/>
    <x v="1"/>
    <x v="1"/>
  </r>
  <r>
    <n v="147696294"/>
    <x v="327"/>
    <x v="0"/>
    <x v="0"/>
    <n v="39"/>
    <s v="month"/>
    <x v="0"/>
    <x v="1"/>
    <x v="1"/>
  </r>
  <r>
    <n v="218255956"/>
    <x v="327"/>
    <x v="0"/>
    <x v="0"/>
    <n v="39"/>
    <s v="month"/>
    <x v="0"/>
    <x v="1"/>
    <x v="1"/>
  </r>
  <r>
    <n v="218510841"/>
    <x v="327"/>
    <x v="0"/>
    <x v="0"/>
    <n v="39"/>
    <s v="month"/>
    <x v="0"/>
    <x v="1"/>
    <x v="1"/>
  </r>
  <r>
    <n v="130864124"/>
    <x v="327"/>
    <x v="0"/>
    <x v="0"/>
    <n v="39"/>
    <s v="month"/>
    <x v="0"/>
    <x v="1"/>
    <x v="1"/>
  </r>
  <r>
    <n v="219194059"/>
    <x v="327"/>
    <x v="0"/>
    <x v="0"/>
    <n v="39"/>
    <s v="month"/>
    <x v="0"/>
    <x v="1"/>
    <x v="1"/>
  </r>
  <r>
    <n v="219254134"/>
    <x v="327"/>
    <x v="0"/>
    <x v="0"/>
    <n v="39"/>
    <s v="month"/>
    <x v="0"/>
    <x v="1"/>
    <x v="1"/>
  </r>
  <r>
    <n v="215881016"/>
    <x v="327"/>
    <x v="0"/>
    <x v="0"/>
    <n v="39"/>
    <s v="month"/>
    <x v="0"/>
    <x v="1"/>
    <x v="1"/>
  </r>
  <r>
    <n v="217361520"/>
    <x v="327"/>
    <x v="0"/>
    <x v="0"/>
    <n v="39"/>
    <s v="month"/>
    <x v="0"/>
    <x v="1"/>
    <x v="1"/>
  </r>
  <r>
    <n v="219265654"/>
    <x v="327"/>
    <x v="0"/>
    <x v="0"/>
    <n v="39"/>
    <s v="month"/>
    <x v="0"/>
    <x v="1"/>
    <x v="1"/>
  </r>
  <r>
    <n v="175491846"/>
    <x v="327"/>
    <x v="360"/>
    <x v="0"/>
    <n v="39"/>
    <s v="month"/>
    <x v="1"/>
    <x v="1"/>
    <x v="1"/>
  </r>
  <r>
    <n v="212603850"/>
    <x v="327"/>
    <x v="262"/>
    <x v="0"/>
    <n v="39"/>
    <s v="month"/>
    <x v="72"/>
    <x v="1"/>
    <x v="1"/>
  </r>
  <r>
    <n v="219307145"/>
    <x v="328"/>
    <x v="0"/>
    <x v="0"/>
    <n v="39"/>
    <s v="month"/>
    <x v="0"/>
    <x v="2"/>
    <x v="1"/>
  </r>
  <r>
    <n v="212937420"/>
    <x v="328"/>
    <x v="294"/>
    <x v="0"/>
    <n v="39"/>
    <s v="month"/>
    <x v="87"/>
    <x v="2"/>
    <x v="1"/>
  </r>
  <r>
    <n v="219318511"/>
    <x v="328"/>
    <x v="63"/>
    <x v="0"/>
    <n v="39"/>
    <s v="month"/>
    <x v="40"/>
    <x v="2"/>
    <x v="1"/>
  </r>
  <r>
    <n v="218513479"/>
    <x v="328"/>
    <x v="333"/>
    <x v="0"/>
    <n v="39"/>
    <s v="month"/>
    <x v="62"/>
    <x v="2"/>
    <x v="1"/>
  </r>
  <r>
    <n v="219301764"/>
    <x v="328"/>
    <x v="66"/>
    <x v="0"/>
    <n v="39"/>
    <s v="month"/>
    <x v="72"/>
    <x v="2"/>
    <x v="1"/>
  </r>
  <r>
    <n v="125038257"/>
    <x v="329"/>
    <x v="0"/>
    <x v="0"/>
    <n v="39"/>
    <s v="month"/>
    <x v="0"/>
    <x v="3"/>
    <x v="1"/>
  </r>
  <r>
    <n v="217813451"/>
    <x v="329"/>
    <x v="0"/>
    <x v="0"/>
    <n v="39"/>
    <s v="month"/>
    <x v="0"/>
    <x v="3"/>
    <x v="1"/>
  </r>
  <r>
    <n v="162859352"/>
    <x v="329"/>
    <x v="296"/>
    <x v="1"/>
    <n v="39"/>
    <s v="month"/>
    <x v="1"/>
    <x v="3"/>
    <x v="1"/>
  </r>
  <r>
    <n v="146923161"/>
    <x v="329"/>
    <x v="349"/>
    <x v="0"/>
    <n v="39"/>
    <s v="month"/>
    <x v="87"/>
    <x v="3"/>
    <x v="1"/>
  </r>
  <r>
    <n v="206699284"/>
    <x v="329"/>
    <x v="331"/>
    <x v="0"/>
    <n v="39"/>
    <s v="month"/>
    <x v="72"/>
    <x v="3"/>
    <x v="1"/>
  </r>
  <r>
    <n v="219330169"/>
    <x v="329"/>
    <x v="331"/>
    <x v="0"/>
    <n v="39"/>
    <s v="month"/>
    <x v="72"/>
    <x v="3"/>
    <x v="1"/>
  </r>
  <r>
    <n v="219404710"/>
    <x v="330"/>
    <x v="0"/>
    <x v="0"/>
    <n v="39"/>
    <s v="month"/>
    <x v="0"/>
    <x v="4"/>
    <x v="1"/>
  </r>
  <r>
    <n v="219402896"/>
    <x v="330"/>
    <x v="0"/>
    <x v="0"/>
    <n v="39"/>
    <s v="month"/>
    <x v="0"/>
    <x v="4"/>
    <x v="1"/>
  </r>
  <r>
    <n v="214129448"/>
    <x v="330"/>
    <x v="0"/>
    <x v="0"/>
    <n v="39"/>
    <s v="month"/>
    <x v="0"/>
    <x v="4"/>
    <x v="1"/>
  </r>
  <r>
    <n v="219218929"/>
    <x v="330"/>
    <x v="0"/>
    <x v="0"/>
    <n v="39"/>
    <s v="month"/>
    <x v="0"/>
    <x v="4"/>
    <x v="1"/>
  </r>
  <r>
    <n v="219385880"/>
    <x v="330"/>
    <x v="0"/>
    <x v="0"/>
    <n v="39"/>
    <s v="month"/>
    <x v="0"/>
    <x v="4"/>
    <x v="1"/>
  </r>
  <r>
    <n v="219368039"/>
    <x v="330"/>
    <x v="0"/>
    <x v="0"/>
    <n v="39"/>
    <s v="month"/>
    <x v="0"/>
    <x v="4"/>
    <x v="1"/>
  </r>
  <r>
    <n v="219328313"/>
    <x v="330"/>
    <x v="0"/>
    <x v="0"/>
    <n v="39"/>
    <s v="month"/>
    <x v="0"/>
    <x v="4"/>
    <x v="1"/>
  </r>
  <r>
    <n v="219185386"/>
    <x v="330"/>
    <x v="222"/>
    <x v="1"/>
    <n v="39"/>
    <s v="month"/>
    <x v="1"/>
    <x v="4"/>
    <x v="1"/>
  </r>
  <r>
    <n v="183712256"/>
    <x v="330"/>
    <x v="98"/>
    <x v="0"/>
    <n v="39"/>
    <s v="month"/>
    <x v="63"/>
    <x v="4"/>
    <x v="1"/>
  </r>
  <r>
    <n v="217624207"/>
    <x v="331"/>
    <x v="0"/>
    <x v="0"/>
    <n v="39"/>
    <s v="month"/>
    <x v="0"/>
    <x v="5"/>
    <x v="1"/>
  </r>
  <r>
    <n v="218938921"/>
    <x v="331"/>
    <x v="0"/>
    <x v="0"/>
    <n v="39"/>
    <s v="month"/>
    <x v="0"/>
    <x v="5"/>
    <x v="1"/>
  </r>
  <r>
    <n v="147145693"/>
    <x v="331"/>
    <x v="0"/>
    <x v="0"/>
    <n v="39"/>
    <s v="month"/>
    <x v="0"/>
    <x v="5"/>
    <x v="1"/>
  </r>
  <r>
    <n v="218459038"/>
    <x v="331"/>
    <x v="0"/>
    <x v="0"/>
    <n v="39"/>
    <s v="month"/>
    <x v="0"/>
    <x v="5"/>
    <x v="1"/>
  </r>
  <r>
    <n v="219395734"/>
    <x v="331"/>
    <x v="0"/>
    <x v="0"/>
    <n v="39"/>
    <s v="month"/>
    <x v="0"/>
    <x v="5"/>
    <x v="1"/>
  </r>
  <r>
    <n v="219413956"/>
    <x v="331"/>
    <x v="0"/>
    <x v="0"/>
    <n v="39"/>
    <s v="month"/>
    <x v="0"/>
    <x v="5"/>
    <x v="1"/>
  </r>
  <r>
    <n v="218562434"/>
    <x v="331"/>
    <x v="318"/>
    <x v="0"/>
    <n v="39"/>
    <s v="month"/>
    <x v="28"/>
    <x v="5"/>
    <x v="1"/>
  </r>
  <r>
    <n v="135521927"/>
    <x v="331"/>
    <x v="352"/>
    <x v="0"/>
    <n v="39"/>
    <s v="month"/>
    <x v="50"/>
    <x v="5"/>
    <x v="1"/>
  </r>
  <r>
    <n v="157035378"/>
    <x v="331"/>
    <x v="335"/>
    <x v="0"/>
    <n v="39"/>
    <s v="month"/>
    <x v="35"/>
    <x v="5"/>
    <x v="1"/>
  </r>
  <r>
    <n v="219382434"/>
    <x v="331"/>
    <x v="335"/>
    <x v="0"/>
    <n v="39"/>
    <s v="month"/>
    <x v="35"/>
    <x v="5"/>
    <x v="1"/>
  </r>
  <r>
    <n v="208762353"/>
    <x v="332"/>
    <x v="0"/>
    <x v="0"/>
    <n v="39"/>
    <s v="month"/>
    <x v="0"/>
    <x v="6"/>
    <x v="1"/>
  </r>
  <r>
    <n v="218346336"/>
    <x v="332"/>
    <x v="0"/>
    <x v="0"/>
    <n v="39"/>
    <s v="month"/>
    <x v="0"/>
    <x v="6"/>
    <x v="1"/>
  </r>
  <r>
    <n v="219226230"/>
    <x v="332"/>
    <x v="0"/>
    <x v="0"/>
    <n v="39"/>
    <s v="month"/>
    <x v="0"/>
    <x v="6"/>
    <x v="1"/>
  </r>
  <r>
    <n v="219369515"/>
    <x v="332"/>
    <x v="0"/>
    <x v="0"/>
    <n v="39"/>
    <s v="month"/>
    <x v="0"/>
    <x v="6"/>
    <x v="1"/>
  </r>
  <r>
    <n v="204947361"/>
    <x v="332"/>
    <x v="0"/>
    <x v="0"/>
    <n v="39"/>
    <s v="month"/>
    <x v="0"/>
    <x v="6"/>
    <x v="1"/>
  </r>
  <r>
    <n v="212977568"/>
    <x v="332"/>
    <x v="0"/>
    <x v="0"/>
    <n v="39"/>
    <s v="month"/>
    <x v="0"/>
    <x v="6"/>
    <x v="1"/>
  </r>
  <r>
    <n v="217981717"/>
    <x v="332"/>
    <x v="0"/>
    <x v="0"/>
    <n v="39"/>
    <s v="month"/>
    <x v="0"/>
    <x v="6"/>
    <x v="1"/>
  </r>
  <r>
    <n v="219459089"/>
    <x v="332"/>
    <x v="0"/>
    <x v="0"/>
    <n v="39"/>
    <s v="month"/>
    <x v="0"/>
    <x v="6"/>
    <x v="1"/>
  </r>
  <r>
    <n v="193483420"/>
    <x v="332"/>
    <x v="0"/>
    <x v="0"/>
    <n v="39"/>
    <s v="month"/>
    <x v="0"/>
    <x v="6"/>
    <x v="1"/>
  </r>
  <r>
    <n v="219496362"/>
    <x v="332"/>
    <x v="356"/>
    <x v="0"/>
    <n v="39"/>
    <s v="month"/>
    <x v="156"/>
    <x v="6"/>
    <x v="1"/>
  </r>
  <r>
    <n v="219398902"/>
    <x v="332"/>
    <x v="294"/>
    <x v="0"/>
    <n v="39"/>
    <s v="month"/>
    <x v="36"/>
    <x v="6"/>
    <x v="1"/>
  </r>
  <r>
    <n v="219497152"/>
    <x v="332"/>
    <x v="225"/>
    <x v="0"/>
    <n v="39"/>
    <s v="month"/>
    <x v="86"/>
    <x v="6"/>
    <x v="1"/>
  </r>
  <r>
    <n v="188426619"/>
    <x v="332"/>
    <x v="318"/>
    <x v="0"/>
    <n v="39"/>
    <s v="month"/>
    <x v="35"/>
    <x v="6"/>
    <x v="1"/>
  </r>
  <r>
    <n v="219470485"/>
    <x v="332"/>
    <x v="55"/>
    <x v="0"/>
    <n v="39"/>
    <s v="month"/>
    <x v="10"/>
    <x v="6"/>
    <x v="1"/>
  </r>
  <r>
    <n v="219460783"/>
    <x v="332"/>
    <x v="331"/>
    <x v="0"/>
    <n v="39"/>
    <s v="month"/>
    <x v="20"/>
    <x v="6"/>
    <x v="1"/>
  </r>
  <r>
    <n v="219512722"/>
    <x v="333"/>
    <x v="0"/>
    <x v="0"/>
    <n v="39"/>
    <s v="month"/>
    <x v="0"/>
    <x v="0"/>
    <x v="1"/>
  </r>
  <r>
    <n v="199393176"/>
    <x v="333"/>
    <x v="0"/>
    <x v="0"/>
    <n v="39"/>
    <s v="month"/>
    <x v="0"/>
    <x v="0"/>
    <x v="1"/>
  </r>
  <r>
    <n v="217368686"/>
    <x v="333"/>
    <x v="0"/>
    <x v="0"/>
    <n v="39"/>
    <s v="month"/>
    <x v="0"/>
    <x v="0"/>
    <x v="1"/>
  </r>
  <r>
    <n v="218247056"/>
    <x v="333"/>
    <x v="0"/>
    <x v="0"/>
    <n v="39"/>
    <s v="month"/>
    <x v="0"/>
    <x v="0"/>
    <x v="1"/>
  </r>
  <r>
    <n v="219439239"/>
    <x v="333"/>
    <x v="0"/>
    <x v="0"/>
    <n v="39"/>
    <s v="month"/>
    <x v="0"/>
    <x v="0"/>
    <x v="1"/>
  </r>
  <r>
    <n v="188206991"/>
    <x v="333"/>
    <x v="0"/>
    <x v="0"/>
    <n v="39"/>
    <s v="month"/>
    <x v="0"/>
    <x v="0"/>
    <x v="1"/>
  </r>
  <r>
    <n v="206470657"/>
    <x v="333"/>
    <x v="0"/>
    <x v="0"/>
    <n v="39"/>
    <s v="month"/>
    <x v="0"/>
    <x v="0"/>
    <x v="1"/>
  </r>
  <r>
    <n v="218706730"/>
    <x v="333"/>
    <x v="0"/>
    <x v="0"/>
    <n v="39"/>
    <s v="month"/>
    <x v="0"/>
    <x v="0"/>
    <x v="1"/>
  </r>
  <r>
    <n v="219512680"/>
    <x v="333"/>
    <x v="0"/>
    <x v="0"/>
    <n v="39"/>
    <s v="month"/>
    <x v="0"/>
    <x v="0"/>
    <x v="1"/>
  </r>
  <r>
    <n v="125335731"/>
    <x v="333"/>
    <x v="0"/>
    <x v="0"/>
    <n v="39"/>
    <s v="month"/>
    <x v="0"/>
    <x v="0"/>
    <x v="1"/>
  </r>
  <r>
    <n v="160598122"/>
    <x v="333"/>
    <x v="0"/>
    <x v="0"/>
    <n v="39"/>
    <s v="month"/>
    <x v="0"/>
    <x v="0"/>
    <x v="1"/>
  </r>
  <r>
    <n v="218414156"/>
    <x v="333"/>
    <x v="0"/>
    <x v="0"/>
    <n v="39"/>
    <s v="month"/>
    <x v="0"/>
    <x v="0"/>
    <x v="1"/>
  </r>
  <r>
    <n v="206455504"/>
    <x v="333"/>
    <x v="318"/>
    <x v="0"/>
    <n v="39"/>
    <s v="month"/>
    <x v="72"/>
    <x v="0"/>
    <x v="1"/>
  </r>
  <r>
    <n v="202589094"/>
    <x v="333"/>
    <x v="302"/>
    <x v="0"/>
    <n v="39"/>
    <s v="month"/>
    <x v="28"/>
    <x v="0"/>
    <x v="1"/>
  </r>
  <r>
    <n v="129747676"/>
    <x v="333"/>
    <x v="349"/>
    <x v="0"/>
    <n v="39"/>
    <s v="month"/>
    <x v="36"/>
    <x v="0"/>
    <x v="1"/>
  </r>
  <r>
    <n v="219511614"/>
    <x v="333"/>
    <x v="318"/>
    <x v="0"/>
    <n v="39"/>
    <s v="month"/>
    <x v="72"/>
    <x v="0"/>
    <x v="1"/>
  </r>
  <r>
    <n v="219491158"/>
    <x v="334"/>
    <x v="0"/>
    <x v="0"/>
    <n v="39"/>
    <s v="month"/>
    <x v="0"/>
    <x v="1"/>
    <x v="1"/>
  </r>
  <r>
    <n v="218790626"/>
    <x v="334"/>
    <x v="0"/>
    <x v="0"/>
    <n v="39"/>
    <s v="month"/>
    <x v="0"/>
    <x v="1"/>
    <x v="1"/>
  </r>
  <r>
    <n v="219476808"/>
    <x v="334"/>
    <x v="0"/>
    <x v="0"/>
    <n v="39"/>
    <s v="month"/>
    <x v="0"/>
    <x v="1"/>
    <x v="1"/>
  </r>
  <r>
    <n v="218585706"/>
    <x v="334"/>
    <x v="0"/>
    <x v="0"/>
    <n v="39"/>
    <s v="month"/>
    <x v="0"/>
    <x v="1"/>
    <x v="1"/>
  </r>
  <r>
    <n v="219316901"/>
    <x v="334"/>
    <x v="0"/>
    <x v="0"/>
    <n v="39"/>
    <s v="month"/>
    <x v="0"/>
    <x v="1"/>
    <x v="1"/>
  </r>
  <r>
    <n v="217724278"/>
    <x v="334"/>
    <x v="0"/>
    <x v="0"/>
    <n v="39"/>
    <s v="month"/>
    <x v="0"/>
    <x v="1"/>
    <x v="1"/>
  </r>
  <r>
    <n v="155869412"/>
    <x v="334"/>
    <x v="0"/>
    <x v="0"/>
    <n v="39"/>
    <s v="month"/>
    <x v="0"/>
    <x v="1"/>
    <x v="1"/>
  </r>
  <r>
    <n v="164535832"/>
    <x v="334"/>
    <x v="0"/>
    <x v="0"/>
    <n v="39"/>
    <s v="month"/>
    <x v="0"/>
    <x v="1"/>
    <x v="1"/>
  </r>
  <r>
    <n v="219388064"/>
    <x v="334"/>
    <x v="0"/>
    <x v="0"/>
    <n v="39"/>
    <s v="month"/>
    <x v="0"/>
    <x v="1"/>
    <x v="1"/>
  </r>
  <r>
    <n v="218884048"/>
    <x v="334"/>
    <x v="313"/>
    <x v="0"/>
    <n v="39"/>
    <s v="month"/>
    <x v="23"/>
    <x v="1"/>
    <x v="1"/>
  </r>
  <r>
    <n v="219603078"/>
    <x v="335"/>
    <x v="0"/>
    <x v="0"/>
    <n v="39"/>
    <s v="month"/>
    <x v="0"/>
    <x v="2"/>
    <x v="1"/>
  </r>
  <r>
    <n v="219146842"/>
    <x v="335"/>
    <x v="0"/>
    <x v="0"/>
    <n v="39"/>
    <s v="month"/>
    <x v="0"/>
    <x v="2"/>
    <x v="1"/>
  </r>
  <r>
    <n v="206676416"/>
    <x v="335"/>
    <x v="0"/>
    <x v="0"/>
    <n v="39"/>
    <s v="month"/>
    <x v="0"/>
    <x v="2"/>
    <x v="1"/>
  </r>
  <r>
    <n v="219615770"/>
    <x v="335"/>
    <x v="0"/>
    <x v="0"/>
    <n v="39"/>
    <s v="month"/>
    <x v="0"/>
    <x v="2"/>
    <x v="1"/>
  </r>
  <r>
    <n v="219630379"/>
    <x v="336"/>
    <x v="0"/>
    <x v="0"/>
    <n v="39"/>
    <s v="month"/>
    <x v="0"/>
    <x v="3"/>
    <x v="1"/>
  </r>
  <r>
    <n v="145096572"/>
    <x v="336"/>
    <x v="0"/>
    <x v="0"/>
    <n v="39"/>
    <s v="month"/>
    <x v="0"/>
    <x v="3"/>
    <x v="1"/>
  </r>
  <r>
    <n v="144005898"/>
    <x v="336"/>
    <x v="0"/>
    <x v="0"/>
    <n v="39"/>
    <s v="month"/>
    <x v="0"/>
    <x v="3"/>
    <x v="1"/>
  </r>
  <r>
    <n v="215189020"/>
    <x v="336"/>
    <x v="0"/>
    <x v="0"/>
    <n v="39"/>
    <s v="month"/>
    <x v="0"/>
    <x v="3"/>
    <x v="1"/>
  </r>
  <r>
    <n v="188354637"/>
    <x v="336"/>
    <x v="339"/>
    <x v="0"/>
    <n v="39"/>
    <s v="month"/>
    <x v="10"/>
    <x v="3"/>
    <x v="1"/>
  </r>
  <r>
    <n v="219668475"/>
    <x v="337"/>
    <x v="0"/>
    <x v="0"/>
    <n v="39"/>
    <s v="month"/>
    <x v="0"/>
    <x v="4"/>
    <x v="1"/>
  </r>
  <r>
    <n v="219495361"/>
    <x v="337"/>
    <x v="0"/>
    <x v="0"/>
    <n v="39"/>
    <s v="month"/>
    <x v="0"/>
    <x v="4"/>
    <x v="1"/>
  </r>
  <r>
    <n v="219672587"/>
    <x v="337"/>
    <x v="0"/>
    <x v="0"/>
    <n v="39"/>
    <s v="month"/>
    <x v="0"/>
    <x v="4"/>
    <x v="1"/>
  </r>
  <r>
    <n v="218556897"/>
    <x v="337"/>
    <x v="98"/>
    <x v="0"/>
    <n v="39"/>
    <s v="month"/>
    <x v="1"/>
    <x v="4"/>
    <x v="1"/>
  </r>
  <r>
    <n v="219467082"/>
    <x v="337"/>
    <x v="334"/>
    <x v="0"/>
    <n v="39"/>
    <s v="month"/>
    <x v="63"/>
    <x v="4"/>
    <x v="1"/>
  </r>
  <r>
    <n v="139353407"/>
    <x v="338"/>
    <x v="0"/>
    <x v="0"/>
    <n v="39"/>
    <s v="month"/>
    <x v="0"/>
    <x v="5"/>
    <x v="1"/>
  </r>
  <r>
    <n v="219734945"/>
    <x v="338"/>
    <x v="0"/>
    <x v="0"/>
    <n v="39"/>
    <s v="month"/>
    <x v="0"/>
    <x v="5"/>
    <x v="1"/>
  </r>
  <r>
    <n v="219735949"/>
    <x v="338"/>
    <x v="0"/>
    <x v="0"/>
    <n v="39"/>
    <s v="month"/>
    <x v="0"/>
    <x v="5"/>
    <x v="1"/>
  </r>
  <r>
    <n v="219688361"/>
    <x v="338"/>
    <x v="0"/>
    <x v="0"/>
    <n v="39"/>
    <s v="month"/>
    <x v="0"/>
    <x v="5"/>
    <x v="1"/>
  </r>
  <r>
    <n v="219447968"/>
    <x v="338"/>
    <x v="0"/>
    <x v="0"/>
    <n v="39"/>
    <s v="month"/>
    <x v="0"/>
    <x v="5"/>
    <x v="1"/>
  </r>
  <r>
    <n v="219583682"/>
    <x v="338"/>
    <x v="0"/>
    <x v="0"/>
    <n v="39"/>
    <s v="month"/>
    <x v="0"/>
    <x v="5"/>
    <x v="1"/>
  </r>
  <r>
    <n v="217638566"/>
    <x v="338"/>
    <x v="0"/>
    <x v="0"/>
    <n v="39"/>
    <s v="month"/>
    <x v="0"/>
    <x v="5"/>
    <x v="1"/>
  </r>
  <r>
    <n v="219716268"/>
    <x v="338"/>
    <x v="0"/>
    <x v="0"/>
    <n v="39"/>
    <s v="month"/>
    <x v="0"/>
    <x v="5"/>
    <x v="1"/>
  </r>
  <r>
    <n v="219713718"/>
    <x v="338"/>
    <x v="0"/>
    <x v="0"/>
    <n v="39"/>
    <s v="month"/>
    <x v="0"/>
    <x v="5"/>
    <x v="1"/>
  </r>
  <r>
    <n v="219707178"/>
    <x v="338"/>
    <x v="0"/>
    <x v="0"/>
    <n v="39"/>
    <s v="month"/>
    <x v="0"/>
    <x v="5"/>
    <x v="1"/>
  </r>
  <r>
    <n v="219747148"/>
    <x v="338"/>
    <x v="98"/>
    <x v="0"/>
    <n v="39"/>
    <s v="month"/>
    <x v="11"/>
    <x v="5"/>
    <x v="1"/>
  </r>
  <r>
    <n v="219710700"/>
    <x v="338"/>
    <x v="351"/>
    <x v="0"/>
    <n v="39"/>
    <s v="month"/>
    <x v="173"/>
    <x v="5"/>
    <x v="1"/>
  </r>
  <r>
    <n v="160883429"/>
    <x v="339"/>
    <x v="0"/>
    <x v="0"/>
    <n v="39"/>
    <s v="month"/>
    <x v="0"/>
    <x v="6"/>
    <x v="1"/>
  </r>
  <r>
    <n v="218556897"/>
    <x v="339"/>
    <x v="0"/>
    <x v="0"/>
    <n v="39"/>
    <s v="month"/>
    <x v="0"/>
    <x v="6"/>
    <x v="1"/>
  </r>
  <r>
    <n v="219779586"/>
    <x v="339"/>
    <x v="0"/>
    <x v="0"/>
    <n v="39"/>
    <s v="month"/>
    <x v="0"/>
    <x v="6"/>
    <x v="1"/>
  </r>
  <r>
    <n v="219437804"/>
    <x v="339"/>
    <x v="0"/>
    <x v="0"/>
    <n v="39"/>
    <s v="month"/>
    <x v="0"/>
    <x v="6"/>
    <x v="1"/>
  </r>
  <r>
    <n v="206402783"/>
    <x v="339"/>
    <x v="0"/>
    <x v="0"/>
    <n v="39"/>
    <s v="month"/>
    <x v="0"/>
    <x v="6"/>
    <x v="1"/>
  </r>
  <r>
    <n v="178419414"/>
    <x v="339"/>
    <x v="0"/>
    <x v="0"/>
    <n v="39"/>
    <s v="month"/>
    <x v="0"/>
    <x v="6"/>
    <x v="1"/>
  </r>
  <r>
    <n v="219719416"/>
    <x v="339"/>
    <x v="0"/>
    <x v="0"/>
    <n v="39"/>
    <s v="month"/>
    <x v="0"/>
    <x v="6"/>
    <x v="1"/>
  </r>
  <r>
    <n v="156558244"/>
    <x v="339"/>
    <x v="0"/>
    <x v="0"/>
    <n v="39"/>
    <s v="month"/>
    <x v="0"/>
    <x v="6"/>
    <x v="1"/>
  </r>
  <r>
    <n v="215602271"/>
    <x v="339"/>
    <x v="334"/>
    <x v="0"/>
    <n v="39"/>
    <s v="month"/>
    <x v="230"/>
    <x v="6"/>
    <x v="1"/>
  </r>
  <r>
    <n v="219761422"/>
    <x v="339"/>
    <x v="332"/>
    <x v="0"/>
    <n v="39"/>
    <s v="month"/>
    <x v="225"/>
    <x v="6"/>
    <x v="1"/>
  </r>
  <r>
    <n v="218594597"/>
    <x v="339"/>
    <x v="252"/>
    <x v="1"/>
    <n v="39"/>
    <s v="month"/>
    <x v="11"/>
    <x v="6"/>
    <x v="1"/>
  </r>
  <r>
    <n v="219734107"/>
    <x v="340"/>
    <x v="0"/>
    <x v="0"/>
    <n v="39"/>
    <s v="month"/>
    <x v="0"/>
    <x v="0"/>
    <x v="1"/>
  </r>
  <r>
    <n v="219836911"/>
    <x v="340"/>
    <x v="0"/>
    <x v="0"/>
    <n v="39"/>
    <s v="month"/>
    <x v="0"/>
    <x v="0"/>
    <x v="1"/>
  </r>
  <r>
    <n v="215179190"/>
    <x v="340"/>
    <x v="0"/>
    <x v="0"/>
    <n v="39"/>
    <s v="month"/>
    <x v="0"/>
    <x v="0"/>
    <x v="1"/>
  </r>
  <r>
    <n v="219817702"/>
    <x v="340"/>
    <x v="0"/>
    <x v="0"/>
    <n v="39"/>
    <s v="month"/>
    <x v="0"/>
    <x v="0"/>
    <x v="1"/>
  </r>
  <r>
    <n v="150065982"/>
    <x v="340"/>
    <x v="301"/>
    <x v="0"/>
    <n v="39"/>
    <s v="month"/>
    <x v="1"/>
    <x v="0"/>
    <x v="1"/>
  </r>
  <r>
    <n v="219891350"/>
    <x v="341"/>
    <x v="0"/>
    <x v="0"/>
    <n v="39"/>
    <s v="month"/>
    <x v="0"/>
    <x v="1"/>
    <x v="1"/>
  </r>
  <r>
    <n v="205210815"/>
    <x v="341"/>
    <x v="0"/>
    <x v="0"/>
    <n v="39"/>
    <s v="month"/>
    <x v="0"/>
    <x v="1"/>
    <x v="1"/>
  </r>
  <r>
    <n v="219744473"/>
    <x v="341"/>
    <x v="0"/>
    <x v="0"/>
    <n v="39"/>
    <s v="month"/>
    <x v="0"/>
    <x v="1"/>
    <x v="1"/>
  </r>
  <r>
    <n v="219851822"/>
    <x v="341"/>
    <x v="0"/>
    <x v="0"/>
    <n v="39"/>
    <s v="month"/>
    <x v="0"/>
    <x v="1"/>
    <x v="1"/>
  </r>
  <r>
    <n v="150779000"/>
    <x v="341"/>
    <x v="349"/>
    <x v="0"/>
    <n v="39"/>
    <s v="month"/>
    <x v="20"/>
    <x v="1"/>
    <x v="1"/>
  </r>
  <r>
    <n v="219876215"/>
    <x v="341"/>
    <x v="328"/>
    <x v="0"/>
    <n v="39"/>
    <s v="month"/>
    <x v="1"/>
    <x v="1"/>
    <x v="1"/>
  </r>
  <r>
    <n v="151633468"/>
    <x v="341"/>
    <x v="328"/>
    <x v="0"/>
    <n v="39"/>
    <s v="month"/>
    <x v="1"/>
    <x v="1"/>
    <x v="1"/>
  </r>
  <r>
    <n v="219834528"/>
    <x v="341"/>
    <x v="328"/>
    <x v="1"/>
    <n v="39"/>
    <s v="month"/>
    <x v="1"/>
    <x v="1"/>
    <x v="1"/>
  </r>
  <r>
    <n v="202844600"/>
    <x v="341"/>
    <x v="328"/>
    <x v="1"/>
    <n v="39"/>
    <s v="month"/>
    <x v="1"/>
    <x v="1"/>
    <x v="1"/>
  </r>
  <r>
    <n v="158093021"/>
    <x v="342"/>
    <x v="0"/>
    <x v="0"/>
    <n v="39"/>
    <s v="month"/>
    <x v="0"/>
    <x v="2"/>
    <x v="1"/>
  </r>
  <r>
    <n v="203366396"/>
    <x v="342"/>
    <x v="55"/>
    <x v="0"/>
    <n v="39"/>
    <s v="month"/>
    <x v="37"/>
    <x v="2"/>
    <x v="1"/>
  </r>
  <r>
    <n v="210694562"/>
    <x v="342"/>
    <x v="352"/>
    <x v="0"/>
    <n v="39"/>
    <s v="month"/>
    <x v="86"/>
    <x v="2"/>
    <x v="1"/>
  </r>
  <r>
    <n v="188347490"/>
    <x v="343"/>
    <x v="0"/>
    <x v="0"/>
    <n v="39"/>
    <s v="month"/>
    <x v="0"/>
    <x v="3"/>
    <x v="1"/>
  </r>
  <r>
    <n v="219947831"/>
    <x v="343"/>
    <x v="0"/>
    <x v="0"/>
    <n v="39"/>
    <s v="month"/>
    <x v="0"/>
    <x v="3"/>
    <x v="1"/>
  </r>
  <r>
    <n v="214775412"/>
    <x v="343"/>
    <x v="0"/>
    <x v="0"/>
    <n v="39"/>
    <s v="month"/>
    <x v="0"/>
    <x v="3"/>
    <x v="1"/>
  </r>
  <r>
    <n v="134753801"/>
    <x v="343"/>
    <x v="0"/>
    <x v="0"/>
    <n v="39"/>
    <s v="month"/>
    <x v="0"/>
    <x v="3"/>
    <x v="1"/>
  </r>
  <r>
    <n v="182584521"/>
    <x v="343"/>
    <x v="0"/>
    <x v="0"/>
    <n v="39"/>
    <s v="month"/>
    <x v="0"/>
    <x v="3"/>
    <x v="1"/>
  </r>
  <r>
    <n v="219955434"/>
    <x v="343"/>
    <x v="0"/>
    <x v="0"/>
    <n v="39"/>
    <s v="month"/>
    <x v="0"/>
    <x v="3"/>
    <x v="1"/>
  </r>
  <r>
    <n v="219951440"/>
    <x v="343"/>
    <x v="0"/>
    <x v="0"/>
    <n v="39"/>
    <s v="month"/>
    <x v="0"/>
    <x v="3"/>
    <x v="1"/>
  </r>
  <r>
    <n v="219808428"/>
    <x v="343"/>
    <x v="318"/>
    <x v="0"/>
    <n v="39"/>
    <s v="month"/>
    <x v="184"/>
    <x v="3"/>
    <x v="1"/>
  </r>
  <r>
    <n v="191034251"/>
    <x v="344"/>
    <x v="0"/>
    <x v="0"/>
    <n v="39"/>
    <s v="month"/>
    <x v="0"/>
    <x v="4"/>
    <x v="1"/>
  </r>
  <r>
    <n v="220023196"/>
    <x v="344"/>
    <x v="0"/>
    <x v="0"/>
    <n v="39"/>
    <s v="month"/>
    <x v="0"/>
    <x v="4"/>
    <x v="1"/>
  </r>
  <r>
    <n v="220028812"/>
    <x v="344"/>
    <x v="0"/>
    <x v="0"/>
    <n v="39"/>
    <s v="month"/>
    <x v="0"/>
    <x v="4"/>
    <x v="1"/>
  </r>
  <r>
    <n v="195988242"/>
    <x v="344"/>
    <x v="0"/>
    <x v="0"/>
    <n v="39"/>
    <s v="month"/>
    <x v="0"/>
    <x v="4"/>
    <x v="1"/>
  </r>
  <r>
    <n v="151633468"/>
    <x v="344"/>
    <x v="0"/>
    <x v="0"/>
    <n v="39"/>
    <s v="month"/>
    <x v="0"/>
    <x v="4"/>
    <x v="1"/>
  </r>
  <r>
    <n v="220012044"/>
    <x v="344"/>
    <x v="0"/>
    <x v="0"/>
    <n v="39"/>
    <s v="month"/>
    <x v="0"/>
    <x v="4"/>
    <x v="1"/>
  </r>
  <r>
    <n v="219981231"/>
    <x v="344"/>
    <x v="0"/>
    <x v="0"/>
    <n v="39"/>
    <s v="month"/>
    <x v="0"/>
    <x v="4"/>
    <x v="1"/>
  </r>
  <r>
    <n v="169692209"/>
    <x v="344"/>
    <x v="0"/>
    <x v="0"/>
    <n v="39"/>
    <s v="month"/>
    <x v="0"/>
    <x v="4"/>
    <x v="1"/>
  </r>
  <r>
    <n v="116156335"/>
    <x v="344"/>
    <x v="0"/>
    <x v="0"/>
    <n v="39"/>
    <s v="month"/>
    <x v="0"/>
    <x v="4"/>
    <x v="1"/>
  </r>
  <r>
    <n v="153393340"/>
    <x v="344"/>
    <x v="0"/>
    <x v="0"/>
    <n v="39"/>
    <s v="month"/>
    <x v="0"/>
    <x v="4"/>
    <x v="1"/>
  </r>
  <r>
    <n v="219974920"/>
    <x v="344"/>
    <x v="0"/>
    <x v="0"/>
    <n v="39"/>
    <s v="month"/>
    <x v="0"/>
    <x v="4"/>
    <x v="1"/>
  </r>
  <r>
    <n v="121253113"/>
    <x v="344"/>
    <x v="55"/>
    <x v="0"/>
    <n v="39"/>
    <s v="month"/>
    <x v="208"/>
    <x v="4"/>
    <x v="1"/>
  </r>
  <r>
    <n v="219690296"/>
    <x v="345"/>
    <x v="0"/>
    <x v="0"/>
    <n v="39"/>
    <s v="month"/>
    <x v="0"/>
    <x v="5"/>
    <x v="1"/>
  </r>
  <r>
    <n v="187268085"/>
    <x v="345"/>
    <x v="0"/>
    <x v="0"/>
    <n v="39"/>
    <s v="month"/>
    <x v="0"/>
    <x v="5"/>
    <x v="1"/>
  </r>
  <r>
    <n v="150623785"/>
    <x v="345"/>
    <x v="0"/>
    <x v="0"/>
    <n v="39"/>
    <s v="month"/>
    <x v="0"/>
    <x v="5"/>
    <x v="1"/>
  </r>
  <r>
    <n v="220056524"/>
    <x v="345"/>
    <x v="55"/>
    <x v="1"/>
    <n v="39"/>
    <s v="month"/>
    <x v="1"/>
    <x v="5"/>
    <x v="1"/>
  </r>
  <r>
    <n v="208188866"/>
    <x v="346"/>
    <x v="0"/>
    <x v="0"/>
    <n v="39"/>
    <s v="month"/>
    <x v="0"/>
    <x v="6"/>
    <x v="1"/>
  </r>
  <r>
    <n v="219081046"/>
    <x v="346"/>
    <x v="0"/>
    <x v="0"/>
    <n v="39"/>
    <s v="month"/>
    <x v="0"/>
    <x v="6"/>
    <x v="1"/>
  </r>
  <r>
    <n v="219569143"/>
    <x v="346"/>
    <x v="0"/>
    <x v="0"/>
    <n v="39"/>
    <s v="month"/>
    <x v="0"/>
    <x v="6"/>
    <x v="1"/>
  </r>
  <r>
    <n v="219653068"/>
    <x v="346"/>
    <x v="0"/>
    <x v="0"/>
    <n v="39"/>
    <s v="month"/>
    <x v="0"/>
    <x v="6"/>
    <x v="1"/>
  </r>
  <r>
    <n v="220120740"/>
    <x v="346"/>
    <x v="0"/>
    <x v="0"/>
    <n v="39"/>
    <s v="month"/>
    <x v="0"/>
    <x v="6"/>
    <x v="1"/>
  </r>
  <r>
    <n v="186200901"/>
    <x v="346"/>
    <x v="0"/>
    <x v="0"/>
    <n v="39"/>
    <s v="month"/>
    <x v="0"/>
    <x v="6"/>
    <x v="1"/>
  </r>
  <r>
    <n v="220116966"/>
    <x v="346"/>
    <x v="0"/>
    <x v="0"/>
    <n v="39"/>
    <s v="month"/>
    <x v="0"/>
    <x v="6"/>
    <x v="1"/>
  </r>
  <r>
    <n v="219876215"/>
    <x v="346"/>
    <x v="0"/>
    <x v="0"/>
    <n v="39"/>
    <s v="month"/>
    <x v="0"/>
    <x v="6"/>
    <x v="1"/>
  </r>
  <r>
    <n v="219996796"/>
    <x v="346"/>
    <x v="0"/>
    <x v="0"/>
    <n v="39"/>
    <s v="month"/>
    <x v="0"/>
    <x v="6"/>
    <x v="1"/>
  </r>
  <r>
    <n v="218296652"/>
    <x v="346"/>
    <x v="0"/>
    <x v="0"/>
    <n v="39"/>
    <s v="month"/>
    <x v="0"/>
    <x v="6"/>
    <x v="1"/>
  </r>
  <r>
    <n v="188748372"/>
    <x v="346"/>
    <x v="0"/>
    <x v="0"/>
    <n v="39"/>
    <s v="month"/>
    <x v="0"/>
    <x v="6"/>
    <x v="1"/>
  </r>
  <r>
    <n v="220080560"/>
    <x v="346"/>
    <x v="0"/>
    <x v="0"/>
    <n v="39"/>
    <s v="month"/>
    <x v="0"/>
    <x v="6"/>
    <x v="1"/>
  </r>
  <r>
    <n v="219899496"/>
    <x v="347"/>
    <x v="0"/>
    <x v="0"/>
    <n v="39"/>
    <s v="month"/>
    <x v="0"/>
    <x v="0"/>
    <x v="1"/>
  </r>
  <r>
    <n v="219000322"/>
    <x v="347"/>
    <x v="0"/>
    <x v="0"/>
    <n v="39"/>
    <s v="month"/>
    <x v="0"/>
    <x v="0"/>
    <x v="1"/>
  </r>
  <r>
    <n v="220181992"/>
    <x v="347"/>
    <x v="0"/>
    <x v="0"/>
    <n v="39"/>
    <s v="month"/>
    <x v="0"/>
    <x v="0"/>
    <x v="1"/>
  </r>
  <r>
    <n v="220196419"/>
    <x v="347"/>
    <x v="0"/>
    <x v="0"/>
    <n v="39"/>
    <s v="month"/>
    <x v="0"/>
    <x v="0"/>
    <x v="1"/>
  </r>
  <r>
    <n v="220155197"/>
    <x v="347"/>
    <x v="0"/>
    <x v="0"/>
    <n v="39"/>
    <s v="month"/>
    <x v="0"/>
    <x v="0"/>
    <x v="1"/>
  </r>
  <r>
    <n v="220144619"/>
    <x v="347"/>
    <x v="0"/>
    <x v="0"/>
    <n v="39"/>
    <s v="month"/>
    <x v="0"/>
    <x v="0"/>
    <x v="1"/>
  </r>
  <r>
    <n v="220184550"/>
    <x v="347"/>
    <x v="0"/>
    <x v="0"/>
    <n v="39"/>
    <s v="month"/>
    <x v="0"/>
    <x v="0"/>
    <x v="1"/>
  </r>
  <r>
    <n v="152209352"/>
    <x v="347"/>
    <x v="0"/>
    <x v="0"/>
    <n v="39"/>
    <s v="month"/>
    <x v="0"/>
    <x v="0"/>
    <x v="1"/>
  </r>
  <r>
    <n v="146952862"/>
    <x v="347"/>
    <x v="0"/>
    <x v="0"/>
    <n v="39"/>
    <s v="month"/>
    <x v="0"/>
    <x v="0"/>
    <x v="1"/>
  </r>
  <r>
    <n v="220178530"/>
    <x v="347"/>
    <x v="0"/>
    <x v="0"/>
    <n v="39"/>
    <s v="month"/>
    <x v="0"/>
    <x v="0"/>
    <x v="1"/>
  </r>
  <r>
    <n v="219498470"/>
    <x v="347"/>
    <x v="0"/>
    <x v="0"/>
    <n v="39"/>
    <s v="month"/>
    <x v="0"/>
    <x v="0"/>
    <x v="1"/>
  </r>
  <r>
    <n v="216622895"/>
    <x v="347"/>
    <x v="0"/>
    <x v="0"/>
    <n v="39"/>
    <s v="month"/>
    <x v="0"/>
    <x v="0"/>
    <x v="1"/>
  </r>
  <r>
    <n v="153705354"/>
    <x v="347"/>
    <x v="351"/>
    <x v="0"/>
    <n v="39"/>
    <s v="month"/>
    <x v="11"/>
    <x v="0"/>
    <x v="1"/>
  </r>
  <r>
    <n v="219280628"/>
    <x v="347"/>
    <x v="63"/>
    <x v="1"/>
    <n v="39"/>
    <s v="month"/>
    <x v="1"/>
    <x v="0"/>
    <x v="1"/>
  </r>
  <r>
    <n v="220171290"/>
    <x v="348"/>
    <x v="0"/>
    <x v="0"/>
    <n v="39"/>
    <s v="month"/>
    <x v="0"/>
    <x v="1"/>
    <x v="1"/>
  </r>
  <r>
    <n v="219553060"/>
    <x v="348"/>
    <x v="0"/>
    <x v="0"/>
    <n v="39"/>
    <s v="month"/>
    <x v="0"/>
    <x v="1"/>
    <x v="1"/>
  </r>
  <r>
    <n v="220244827"/>
    <x v="348"/>
    <x v="0"/>
    <x v="0"/>
    <n v="39"/>
    <s v="month"/>
    <x v="0"/>
    <x v="1"/>
    <x v="1"/>
  </r>
  <r>
    <n v="219612883"/>
    <x v="348"/>
    <x v="0"/>
    <x v="0"/>
    <n v="39"/>
    <s v="month"/>
    <x v="0"/>
    <x v="1"/>
    <x v="1"/>
  </r>
  <r>
    <n v="217914279"/>
    <x v="348"/>
    <x v="0"/>
    <x v="0"/>
    <n v="39"/>
    <s v="month"/>
    <x v="0"/>
    <x v="1"/>
    <x v="1"/>
  </r>
  <r>
    <n v="220171851"/>
    <x v="348"/>
    <x v="0"/>
    <x v="0"/>
    <n v="39"/>
    <s v="month"/>
    <x v="0"/>
    <x v="1"/>
    <x v="1"/>
  </r>
  <r>
    <n v="217543308"/>
    <x v="348"/>
    <x v="0"/>
    <x v="0"/>
    <n v="39"/>
    <s v="month"/>
    <x v="0"/>
    <x v="1"/>
    <x v="1"/>
  </r>
  <r>
    <n v="157008330"/>
    <x v="348"/>
    <x v="63"/>
    <x v="0"/>
    <n v="39"/>
    <s v="month"/>
    <x v="11"/>
    <x v="1"/>
    <x v="1"/>
  </r>
  <r>
    <n v="206063908"/>
    <x v="348"/>
    <x v="290"/>
    <x v="0"/>
    <n v="39"/>
    <s v="month"/>
    <x v="40"/>
    <x v="1"/>
    <x v="1"/>
  </r>
  <r>
    <n v="220182716"/>
    <x v="348"/>
    <x v="295"/>
    <x v="1"/>
    <n v="39"/>
    <s v="month"/>
    <x v="1"/>
    <x v="1"/>
    <x v="1"/>
  </r>
  <r>
    <n v="202103959"/>
    <x v="349"/>
    <x v="0"/>
    <x v="0"/>
    <n v="39"/>
    <s v="month"/>
    <x v="0"/>
    <x v="2"/>
    <x v="1"/>
  </r>
  <r>
    <n v="218757796"/>
    <x v="349"/>
    <x v="0"/>
    <x v="0"/>
    <n v="39"/>
    <s v="month"/>
    <x v="0"/>
    <x v="2"/>
    <x v="1"/>
  </r>
  <r>
    <n v="220272556"/>
    <x v="349"/>
    <x v="0"/>
    <x v="0"/>
    <n v="39"/>
    <s v="month"/>
    <x v="0"/>
    <x v="2"/>
    <x v="1"/>
  </r>
  <r>
    <n v="219493644"/>
    <x v="349"/>
    <x v="0"/>
    <x v="0"/>
    <n v="39"/>
    <s v="month"/>
    <x v="0"/>
    <x v="2"/>
    <x v="1"/>
  </r>
  <r>
    <n v="148996798"/>
    <x v="349"/>
    <x v="0"/>
    <x v="0"/>
    <n v="39"/>
    <s v="month"/>
    <x v="0"/>
    <x v="2"/>
    <x v="1"/>
  </r>
  <r>
    <n v="218947678"/>
    <x v="349"/>
    <x v="0"/>
    <x v="0"/>
    <n v="39"/>
    <s v="month"/>
    <x v="0"/>
    <x v="2"/>
    <x v="1"/>
  </r>
  <r>
    <n v="119465934"/>
    <x v="349"/>
    <x v="0"/>
    <x v="0"/>
    <n v="39"/>
    <s v="month"/>
    <x v="0"/>
    <x v="2"/>
    <x v="1"/>
  </r>
  <r>
    <n v="219195061"/>
    <x v="349"/>
    <x v="0"/>
    <x v="0"/>
    <n v="39"/>
    <s v="month"/>
    <x v="0"/>
    <x v="2"/>
    <x v="1"/>
  </r>
  <r>
    <n v="219637590"/>
    <x v="349"/>
    <x v="333"/>
    <x v="0"/>
    <n v="39"/>
    <s v="month"/>
    <x v="230"/>
    <x v="2"/>
    <x v="1"/>
  </r>
  <r>
    <n v="218878930"/>
    <x v="350"/>
    <x v="0"/>
    <x v="0"/>
    <n v="39"/>
    <s v="month"/>
    <x v="0"/>
    <x v="3"/>
    <x v="1"/>
  </r>
  <r>
    <n v="134622358"/>
    <x v="350"/>
    <x v="0"/>
    <x v="0"/>
    <n v="39"/>
    <s v="month"/>
    <x v="0"/>
    <x v="3"/>
    <x v="1"/>
  </r>
  <r>
    <n v="219237524"/>
    <x v="350"/>
    <x v="0"/>
    <x v="0"/>
    <n v="39"/>
    <s v="month"/>
    <x v="0"/>
    <x v="3"/>
    <x v="1"/>
  </r>
  <r>
    <n v="147320092"/>
    <x v="350"/>
    <x v="0"/>
    <x v="0"/>
    <n v="39"/>
    <s v="month"/>
    <x v="0"/>
    <x v="3"/>
    <x v="1"/>
  </r>
  <r>
    <n v="219953886"/>
    <x v="350"/>
    <x v="0"/>
    <x v="0"/>
    <n v="39"/>
    <s v="month"/>
    <x v="0"/>
    <x v="3"/>
    <x v="1"/>
  </r>
  <r>
    <n v="207013932"/>
    <x v="350"/>
    <x v="339"/>
    <x v="1"/>
    <n v="39"/>
    <s v="month"/>
    <x v="11"/>
    <x v="3"/>
    <x v="1"/>
  </r>
  <r>
    <n v="205274562"/>
    <x v="351"/>
    <x v="0"/>
    <x v="0"/>
    <n v="39"/>
    <s v="month"/>
    <x v="0"/>
    <x v="4"/>
    <x v="1"/>
  </r>
  <r>
    <n v="152698255"/>
    <x v="351"/>
    <x v="0"/>
    <x v="0"/>
    <n v="39"/>
    <s v="month"/>
    <x v="0"/>
    <x v="4"/>
    <x v="1"/>
  </r>
  <r>
    <n v="209361492"/>
    <x v="351"/>
    <x v="0"/>
    <x v="0"/>
    <n v="39"/>
    <s v="month"/>
    <x v="0"/>
    <x v="4"/>
    <x v="1"/>
  </r>
  <r>
    <n v="205530810"/>
    <x v="351"/>
    <x v="0"/>
    <x v="0"/>
    <n v="39"/>
    <s v="month"/>
    <x v="0"/>
    <x v="4"/>
    <x v="1"/>
  </r>
  <r>
    <n v="220343801"/>
    <x v="351"/>
    <x v="0"/>
    <x v="0"/>
    <n v="39"/>
    <s v="month"/>
    <x v="0"/>
    <x v="4"/>
    <x v="1"/>
  </r>
  <r>
    <n v="150441222"/>
    <x v="351"/>
    <x v="0"/>
    <x v="0"/>
    <n v="39"/>
    <s v="month"/>
    <x v="0"/>
    <x v="4"/>
    <x v="1"/>
  </r>
  <r>
    <n v="214640803"/>
    <x v="351"/>
    <x v="0"/>
    <x v="0"/>
    <n v="39"/>
    <s v="month"/>
    <x v="0"/>
    <x v="4"/>
    <x v="1"/>
  </r>
  <r>
    <n v="219569853"/>
    <x v="351"/>
    <x v="0"/>
    <x v="0"/>
    <n v="39"/>
    <s v="month"/>
    <x v="0"/>
    <x v="4"/>
    <x v="1"/>
  </r>
  <r>
    <n v="220197494"/>
    <x v="351"/>
    <x v="0"/>
    <x v="0"/>
    <n v="39"/>
    <s v="month"/>
    <x v="0"/>
    <x v="4"/>
    <x v="1"/>
  </r>
  <r>
    <n v="220323698"/>
    <x v="351"/>
    <x v="0"/>
    <x v="0"/>
    <n v="39"/>
    <s v="month"/>
    <x v="0"/>
    <x v="4"/>
    <x v="1"/>
  </r>
  <r>
    <n v="215180470"/>
    <x v="351"/>
    <x v="190"/>
    <x v="0"/>
    <n v="39"/>
    <s v="month"/>
    <x v="11"/>
    <x v="4"/>
    <x v="1"/>
  </r>
  <r>
    <n v="177323966"/>
    <x v="351"/>
    <x v="331"/>
    <x v="0"/>
    <n v="39"/>
    <s v="month"/>
    <x v="42"/>
    <x v="4"/>
    <x v="1"/>
  </r>
  <r>
    <n v="214682826"/>
    <x v="351"/>
    <x v="313"/>
    <x v="0"/>
    <n v="39"/>
    <s v="month"/>
    <x v="1"/>
    <x v="4"/>
    <x v="1"/>
  </r>
  <r>
    <n v="220414820"/>
    <x v="352"/>
    <x v="0"/>
    <x v="0"/>
    <n v="39"/>
    <s v="month"/>
    <x v="0"/>
    <x v="5"/>
    <x v="1"/>
  </r>
  <r>
    <n v="214682826"/>
    <x v="352"/>
    <x v="0"/>
    <x v="0"/>
    <n v="39"/>
    <s v="month"/>
    <x v="0"/>
    <x v="5"/>
    <x v="1"/>
  </r>
  <r>
    <n v="206147500"/>
    <x v="352"/>
    <x v="0"/>
    <x v="0"/>
    <n v="39"/>
    <s v="month"/>
    <x v="0"/>
    <x v="5"/>
    <x v="1"/>
  </r>
  <r>
    <n v="220402308"/>
    <x v="352"/>
    <x v="0"/>
    <x v="0"/>
    <n v="39"/>
    <s v="month"/>
    <x v="0"/>
    <x v="5"/>
    <x v="1"/>
  </r>
  <r>
    <n v="220205806"/>
    <x v="352"/>
    <x v="0"/>
    <x v="0"/>
    <n v="39"/>
    <s v="month"/>
    <x v="0"/>
    <x v="5"/>
    <x v="1"/>
  </r>
  <r>
    <n v="152792045"/>
    <x v="352"/>
    <x v="0"/>
    <x v="0"/>
    <n v="39"/>
    <s v="month"/>
    <x v="0"/>
    <x v="5"/>
    <x v="1"/>
  </r>
  <r>
    <n v="220381016"/>
    <x v="352"/>
    <x v="0"/>
    <x v="0"/>
    <n v="39"/>
    <s v="month"/>
    <x v="0"/>
    <x v="5"/>
    <x v="1"/>
  </r>
  <r>
    <n v="220385078"/>
    <x v="352"/>
    <x v="0"/>
    <x v="0"/>
    <n v="39"/>
    <s v="month"/>
    <x v="0"/>
    <x v="5"/>
    <x v="1"/>
  </r>
  <r>
    <n v="220414853"/>
    <x v="352"/>
    <x v="0"/>
    <x v="0"/>
    <n v="39"/>
    <s v="month"/>
    <x v="0"/>
    <x v="5"/>
    <x v="1"/>
  </r>
  <r>
    <n v="220366524"/>
    <x v="352"/>
    <x v="0"/>
    <x v="0"/>
    <n v="39"/>
    <s v="month"/>
    <x v="0"/>
    <x v="5"/>
    <x v="1"/>
  </r>
  <r>
    <n v="220407436"/>
    <x v="352"/>
    <x v="225"/>
    <x v="1"/>
    <n v="39"/>
    <s v="month"/>
    <x v="1"/>
    <x v="5"/>
    <x v="1"/>
  </r>
  <r>
    <n v="192182455"/>
    <x v="353"/>
    <x v="0"/>
    <x v="0"/>
    <n v="39"/>
    <s v="month"/>
    <x v="0"/>
    <x v="6"/>
    <x v="1"/>
  </r>
  <r>
    <n v="219439597"/>
    <x v="353"/>
    <x v="0"/>
    <x v="0"/>
    <n v="39"/>
    <s v="month"/>
    <x v="0"/>
    <x v="6"/>
    <x v="1"/>
  </r>
  <r>
    <n v="219576812"/>
    <x v="353"/>
    <x v="0"/>
    <x v="0"/>
    <n v="39"/>
    <s v="month"/>
    <x v="0"/>
    <x v="6"/>
    <x v="1"/>
  </r>
  <r>
    <n v="143111905"/>
    <x v="353"/>
    <x v="0"/>
    <x v="0"/>
    <n v="39"/>
    <s v="month"/>
    <x v="0"/>
    <x v="6"/>
    <x v="1"/>
  </r>
  <r>
    <n v="123297208"/>
    <x v="353"/>
    <x v="0"/>
    <x v="0"/>
    <n v="39"/>
    <s v="month"/>
    <x v="0"/>
    <x v="6"/>
    <x v="1"/>
  </r>
  <r>
    <n v="213194584"/>
    <x v="353"/>
    <x v="0"/>
    <x v="0"/>
    <n v="39"/>
    <s v="month"/>
    <x v="0"/>
    <x v="6"/>
    <x v="1"/>
  </r>
  <r>
    <n v="220455205"/>
    <x v="353"/>
    <x v="0"/>
    <x v="0"/>
    <n v="39"/>
    <s v="month"/>
    <x v="0"/>
    <x v="6"/>
    <x v="1"/>
  </r>
  <r>
    <n v="220425056"/>
    <x v="353"/>
    <x v="0"/>
    <x v="0"/>
    <n v="39"/>
    <s v="month"/>
    <x v="0"/>
    <x v="6"/>
    <x v="1"/>
  </r>
  <r>
    <n v="219685108"/>
    <x v="353"/>
    <x v="0"/>
    <x v="0"/>
    <n v="39"/>
    <s v="month"/>
    <x v="0"/>
    <x v="6"/>
    <x v="1"/>
  </r>
  <r>
    <n v="220531090"/>
    <x v="354"/>
    <x v="0"/>
    <x v="0"/>
    <n v="39"/>
    <s v="month"/>
    <x v="0"/>
    <x v="0"/>
    <x v="1"/>
  </r>
  <r>
    <n v="220510482"/>
    <x v="354"/>
    <x v="0"/>
    <x v="0"/>
    <n v="39"/>
    <s v="month"/>
    <x v="0"/>
    <x v="0"/>
    <x v="1"/>
  </r>
  <r>
    <n v="149856123"/>
    <x v="354"/>
    <x v="0"/>
    <x v="0"/>
    <n v="39"/>
    <s v="month"/>
    <x v="0"/>
    <x v="0"/>
    <x v="1"/>
  </r>
  <r>
    <n v="217506938"/>
    <x v="354"/>
    <x v="0"/>
    <x v="0"/>
    <n v="39"/>
    <s v="month"/>
    <x v="0"/>
    <x v="0"/>
    <x v="1"/>
  </r>
  <r>
    <n v="189403535"/>
    <x v="354"/>
    <x v="0"/>
    <x v="0"/>
    <n v="39"/>
    <s v="month"/>
    <x v="0"/>
    <x v="0"/>
    <x v="1"/>
  </r>
  <r>
    <n v="132318451"/>
    <x v="354"/>
    <x v="333"/>
    <x v="0"/>
    <n v="39"/>
    <s v="month"/>
    <x v="1"/>
    <x v="0"/>
    <x v="1"/>
  </r>
  <r>
    <n v="220495479"/>
    <x v="354"/>
    <x v="333"/>
    <x v="1"/>
    <n v="39"/>
    <s v="month"/>
    <x v="1"/>
    <x v="0"/>
    <x v="1"/>
  </r>
  <r>
    <n v="164903790"/>
    <x v="355"/>
    <x v="0"/>
    <x v="0"/>
    <n v="39"/>
    <s v="month"/>
    <x v="0"/>
    <x v="1"/>
    <x v="1"/>
  </r>
  <r>
    <n v="220371835"/>
    <x v="355"/>
    <x v="0"/>
    <x v="0"/>
    <n v="39"/>
    <s v="month"/>
    <x v="0"/>
    <x v="1"/>
    <x v="1"/>
  </r>
  <r>
    <n v="125932988"/>
    <x v="355"/>
    <x v="0"/>
    <x v="0"/>
    <n v="39"/>
    <s v="month"/>
    <x v="0"/>
    <x v="1"/>
    <x v="1"/>
  </r>
  <r>
    <n v="214924190"/>
    <x v="355"/>
    <x v="0"/>
    <x v="0"/>
    <n v="39"/>
    <s v="month"/>
    <x v="0"/>
    <x v="1"/>
    <x v="1"/>
  </r>
  <r>
    <n v="117300170"/>
    <x v="355"/>
    <x v="0"/>
    <x v="0"/>
    <n v="39"/>
    <s v="month"/>
    <x v="0"/>
    <x v="1"/>
    <x v="1"/>
  </r>
  <r>
    <n v="162913792"/>
    <x v="355"/>
    <x v="0"/>
    <x v="0"/>
    <n v="39"/>
    <s v="month"/>
    <x v="0"/>
    <x v="1"/>
    <x v="1"/>
  </r>
  <r>
    <n v="220551506"/>
    <x v="355"/>
    <x v="0"/>
    <x v="0"/>
    <n v="39"/>
    <s v="month"/>
    <x v="0"/>
    <x v="1"/>
    <x v="1"/>
  </r>
  <r>
    <n v="161187523"/>
    <x v="355"/>
    <x v="0"/>
    <x v="0"/>
    <n v="39"/>
    <s v="month"/>
    <x v="0"/>
    <x v="1"/>
    <x v="1"/>
  </r>
  <r>
    <n v="220562110"/>
    <x v="355"/>
    <x v="262"/>
    <x v="1"/>
    <n v="39"/>
    <s v="month"/>
    <x v="1"/>
    <x v="1"/>
    <x v="1"/>
  </r>
  <r>
    <n v="220589305"/>
    <x v="356"/>
    <x v="0"/>
    <x v="0"/>
    <n v="39"/>
    <s v="month"/>
    <x v="0"/>
    <x v="2"/>
    <x v="1"/>
  </r>
  <r>
    <n v="220496139"/>
    <x v="356"/>
    <x v="0"/>
    <x v="0"/>
    <n v="39"/>
    <s v="month"/>
    <x v="0"/>
    <x v="2"/>
    <x v="1"/>
  </r>
  <r>
    <n v="219211334"/>
    <x v="356"/>
    <x v="0"/>
    <x v="0"/>
    <n v="39"/>
    <s v="month"/>
    <x v="0"/>
    <x v="2"/>
    <x v="1"/>
  </r>
  <r>
    <n v="220582817"/>
    <x v="356"/>
    <x v="0"/>
    <x v="0"/>
    <n v="39"/>
    <s v="month"/>
    <x v="0"/>
    <x v="2"/>
    <x v="1"/>
  </r>
  <r>
    <n v="217513777"/>
    <x v="356"/>
    <x v="331"/>
    <x v="0"/>
    <n v="39"/>
    <s v="month"/>
    <x v="208"/>
    <x v="2"/>
    <x v="1"/>
  </r>
  <r>
    <n v="220576148"/>
    <x v="356"/>
    <x v="294"/>
    <x v="0"/>
    <n v="39"/>
    <s v="month"/>
    <x v="79"/>
    <x v="2"/>
    <x v="1"/>
  </r>
  <r>
    <n v="219294264"/>
    <x v="357"/>
    <x v="0"/>
    <x v="0"/>
    <n v="39"/>
    <s v="month"/>
    <x v="0"/>
    <x v="3"/>
    <x v="1"/>
  </r>
  <r>
    <n v="220617197"/>
    <x v="357"/>
    <x v="0"/>
    <x v="0"/>
    <n v="39"/>
    <s v="month"/>
    <x v="0"/>
    <x v="3"/>
    <x v="1"/>
  </r>
  <r>
    <n v="220227691"/>
    <x v="357"/>
    <x v="0"/>
    <x v="0"/>
    <n v="39"/>
    <s v="month"/>
    <x v="0"/>
    <x v="3"/>
    <x v="1"/>
  </r>
  <r>
    <n v="220672607"/>
    <x v="358"/>
    <x v="0"/>
    <x v="0"/>
    <n v="39"/>
    <s v="month"/>
    <x v="0"/>
    <x v="4"/>
    <x v="1"/>
  </r>
  <r>
    <n v="218608353"/>
    <x v="358"/>
    <x v="0"/>
    <x v="0"/>
    <n v="39"/>
    <s v="month"/>
    <x v="0"/>
    <x v="4"/>
    <x v="1"/>
  </r>
  <r>
    <n v="135128238"/>
    <x v="358"/>
    <x v="0"/>
    <x v="0"/>
    <n v="39"/>
    <s v="month"/>
    <x v="0"/>
    <x v="4"/>
    <x v="1"/>
  </r>
  <r>
    <n v="220285147"/>
    <x v="358"/>
    <x v="0"/>
    <x v="0"/>
    <n v="39"/>
    <s v="month"/>
    <x v="0"/>
    <x v="4"/>
    <x v="1"/>
  </r>
  <r>
    <n v="218645057"/>
    <x v="358"/>
    <x v="0"/>
    <x v="0"/>
    <n v="39"/>
    <s v="month"/>
    <x v="0"/>
    <x v="4"/>
    <x v="1"/>
  </r>
  <r>
    <n v="128199550"/>
    <x v="358"/>
    <x v="335"/>
    <x v="0"/>
    <n v="39"/>
    <s v="month"/>
    <x v="175"/>
    <x v="4"/>
    <x v="1"/>
  </r>
  <r>
    <n v="220747618"/>
    <x v="359"/>
    <x v="0"/>
    <x v="0"/>
    <n v="39"/>
    <s v="month"/>
    <x v="0"/>
    <x v="5"/>
    <x v="1"/>
  </r>
  <r>
    <n v="207386830"/>
    <x v="359"/>
    <x v="0"/>
    <x v="0"/>
    <n v="39"/>
    <s v="month"/>
    <x v="0"/>
    <x v="5"/>
    <x v="1"/>
  </r>
  <r>
    <n v="205109812"/>
    <x v="359"/>
    <x v="0"/>
    <x v="0"/>
    <n v="39"/>
    <s v="month"/>
    <x v="0"/>
    <x v="5"/>
    <x v="1"/>
  </r>
  <r>
    <n v="132318451"/>
    <x v="359"/>
    <x v="0"/>
    <x v="0"/>
    <n v="39"/>
    <s v="month"/>
    <x v="0"/>
    <x v="5"/>
    <x v="1"/>
  </r>
  <r>
    <n v="218596318"/>
    <x v="359"/>
    <x v="0"/>
    <x v="0"/>
    <n v="39"/>
    <s v="month"/>
    <x v="0"/>
    <x v="5"/>
    <x v="1"/>
  </r>
  <r>
    <n v="220699520"/>
    <x v="359"/>
    <x v="0"/>
    <x v="0"/>
    <n v="39"/>
    <s v="month"/>
    <x v="0"/>
    <x v="5"/>
    <x v="1"/>
  </r>
  <r>
    <n v="218307579"/>
    <x v="359"/>
    <x v="0"/>
    <x v="0"/>
    <n v="39"/>
    <s v="month"/>
    <x v="0"/>
    <x v="5"/>
    <x v="1"/>
  </r>
  <r>
    <n v="218514844"/>
    <x v="360"/>
    <x v="0"/>
    <x v="0"/>
    <n v="39"/>
    <s v="month"/>
    <x v="0"/>
    <x v="6"/>
    <x v="1"/>
  </r>
  <r>
    <n v="188622328"/>
    <x v="360"/>
    <x v="0"/>
    <x v="0"/>
    <n v="39"/>
    <s v="month"/>
    <x v="0"/>
    <x v="6"/>
    <x v="1"/>
  </r>
  <r>
    <n v="220790640"/>
    <x v="360"/>
    <x v="0"/>
    <x v="0"/>
    <n v="39"/>
    <s v="month"/>
    <x v="0"/>
    <x v="6"/>
    <x v="1"/>
  </r>
  <r>
    <n v="220675005"/>
    <x v="360"/>
    <x v="0"/>
    <x v="0"/>
    <n v="39"/>
    <s v="month"/>
    <x v="0"/>
    <x v="6"/>
    <x v="1"/>
  </r>
  <r>
    <n v="142757196"/>
    <x v="360"/>
    <x v="0"/>
    <x v="0"/>
    <n v="39"/>
    <s v="month"/>
    <x v="0"/>
    <x v="6"/>
    <x v="1"/>
  </r>
  <r>
    <n v="220411940"/>
    <x v="360"/>
    <x v="0"/>
    <x v="0"/>
    <n v="39"/>
    <s v="month"/>
    <x v="0"/>
    <x v="6"/>
    <x v="1"/>
  </r>
  <r>
    <n v="155613371"/>
    <x v="360"/>
    <x v="0"/>
    <x v="0"/>
    <n v="39"/>
    <s v="month"/>
    <x v="0"/>
    <x v="6"/>
    <x v="1"/>
  </r>
  <r>
    <n v="164548755"/>
    <x v="360"/>
    <x v="0"/>
    <x v="0"/>
    <n v="39"/>
    <s v="month"/>
    <x v="0"/>
    <x v="6"/>
    <x v="1"/>
  </r>
  <r>
    <n v="220546810"/>
    <x v="360"/>
    <x v="0"/>
    <x v="0"/>
    <n v="39"/>
    <s v="month"/>
    <x v="0"/>
    <x v="6"/>
    <x v="1"/>
  </r>
  <r>
    <n v="215202566"/>
    <x v="360"/>
    <x v="211"/>
    <x v="0"/>
    <n v="39"/>
    <s v="month"/>
    <x v="11"/>
    <x v="6"/>
    <x v="1"/>
  </r>
  <r>
    <n v="135092264"/>
    <x v="361"/>
    <x v="0"/>
    <x v="0"/>
    <n v="39"/>
    <s v="month"/>
    <x v="0"/>
    <x v="0"/>
    <x v="1"/>
  </r>
  <r>
    <n v="220854418"/>
    <x v="361"/>
    <x v="0"/>
    <x v="0"/>
    <n v="39"/>
    <s v="month"/>
    <x v="0"/>
    <x v="0"/>
    <x v="1"/>
  </r>
  <r>
    <n v="220851140"/>
    <x v="361"/>
    <x v="0"/>
    <x v="0"/>
    <n v="39"/>
    <s v="month"/>
    <x v="0"/>
    <x v="0"/>
    <x v="1"/>
  </r>
  <r>
    <n v="220843911"/>
    <x v="361"/>
    <x v="0"/>
    <x v="0"/>
    <n v="39"/>
    <s v="month"/>
    <x v="0"/>
    <x v="0"/>
    <x v="1"/>
  </r>
  <r>
    <n v="216137022"/>
    <x v="361"/>
    <x v="0"/>
    <x v="0"/>
    <n v="39"/>
    <s v="month"/>
    <x v="0"/>
    <x v="0"/>
    <x v="1"/>
  </r>
  <r>
    <n v="161151062"/>
    <x v="361"/>
    <x v="0"/>
    <x v="0"/>
    <n v="39"/>
    <s v="month"/>
    <x v="0"/>
    <x v="0"/>
    <x v="1"/>
  </r>
  <r>
    <n v="148085880"/>
    <x v="361"/>
    <x v="0"/>
    <x v="0"/>
    <n v="39"/>
    <s v="month"/>
    <x v="0"/>
    <x v="0"/>
    <x v="1"/>
  </r>
  <r>
    <n v="182061738"/>
    <x v="362"/>
    <x v="0"/>
    <x v="0"/>
    <n v="39"/>
    <s v="month"/>
    <x v="0"/>
    <x v="1"/>
    <x v="1"/>
  </r>
  <r>
    <n v="220860582"/>
    <x v="362"/>
    <x v="0"/>
    <x v="0"/>
    <n v="39"/>
    <s v="month"/>
    <x v="0"/>
    <x v="1"/>
    <x v="1"/>
  </r>
  <r>
    <n v="218315334"/>
    <x v="362"/>
    <x v="0"/>
    <x v="0"/>
    <n v="39"/>
    <s v="month"/>
    <x v="0"/>
    <x v="1"/>
    <x v="1"/>
  </r>
  <r>
    <n v="217246008"/>
    <x v="362"/>
    <x v="0"/>
    <x v="0"/>
    <n v="39"/>
    <s v="month"/>
    <x v="0"/>
    <x v="1"/>
    <x v="1"/>
  </r>
  <r>
    <n v="220835326"/>
    <x v="362"/>
    <x v="0"/>
    <x v="0"/>
    <n v="39"/>
    <s v="month"/>
    <x v="0"/>
    <x v="1"/>
    <x v="1"/>
  </r>
  <r>
    <n v="219470485"/>
    <x v="362"/>
    <x v="0"/>
    <x v="0"/>
    <n v="39"/>
    <s v="month"/>
    <x v="0"/>
    <x v="1"/>
    <x v="1"/>
  </r>
  <r>
    <n v="182153913"/>
    <x v="363"/>
    <x v="0"/>
    <x v="0"/>
    <n v="39"/>
    <s v="month"/>
    <x v="0"/>
    <x v="2"/>
    <x v="1"/>
  </r>
  <r>
    <n v="217223132"/>
    <x v="363"/>
    <x v="0"/>
    <x v="0"/>
    <n v="39"/>
    <s v="month"/>
    <x v="0"/>
    <x v="2"/>
    <x v="1"/>
  </r>
  <r>
    <n v="219643599"/>
    <x v="363"/>
    <x v="0"/>
    <x v="0"/>
    <n v="39"/>
    <s v="month"/>
    <x v="0"/>
    <x v="2"/>
    <x v="1"/>
  </r>
  <r>
    <n v="152851458"/>
    <x v="363"/>
    <x v="0"/>
    <x v="0"/>
    <n v="39"/>
    <s v="month"/>
    <x v="0"/>
    <x v="2"/>
    <x v="1"/>
  </r>
  <r>
    <n v="219657672"/>
    <x v="363"/>
    <x v="0"/>
    <x v="0"/>
    <n v="39"/>
    <s v="month"/>
    <x v="0"/>
    <x v="2"/>
    <x v="1"/>
  </r>
  <r>
    <n v="220973656"/>
    <x v="364"/>
    <x v="0"/>
    <x v="0"/>
    <n v="39"/>
    <s v="month"/>
    <x v="0"/>
    <x v="3"/>
    <x v="1"/>
  </r>
  <r>
    <n v="159717680"/>
    <x v="364"/>
    <x v="0"/>
    <x v="0"/>
    <n v="39"/>
    <s v="month"/>
    <x v="0"/>
    <x v="3"/>
    <x v="1"/>
  </r>
  <r>
    <n v="220420126"/>
    <x v="364"/>
    <x v="0"/>
    <x v="0"/>
    <n v="39"/>
    <s v="month"/>
    <x v="0"/>
    <x v="3"/>
    <x v="1"/>
  </r>
  <r>
    <n v="220965750"/>
    <x v="364"/>
    <x v="0"/>
    <x v="0"/>
    <n v="39"/>
    <s v="month"/>
    <x v="0"/>
    <x v="3"/>
    <x v="1"/>
  </r>
  <r>
    <n v="219065931"/>
    <x v="364"/>
    <x v="0"/>
    <x v="0"/>
    <n v="39"/>
    <s v="month"/>
    <x v="0"/>
    <x v="3"/>
    <x v="1"/>
  </r>
  <r>
    <n v="220707034"/>
    <x v="364"/>
    <x v="0"/>
    <x v="0"/>
    <n v="39"/>
    <s v="month"/>
    <x v="0"/>
    <x v="3"/>
    <x v="1"/>
  </r>
  <r>
    <n v="220875396"/>
    <x v="364"/>
    <x v="0"/>
    <x v="0"/>
    <n v="39"/>
    <s v="month"/>
    <x v="0"/>
    <x v="3"/>
    <x v="1"/>
  </r>
  <r>
    <n v="134054676"/>
    <x v="364"/>
    <x v="294"/>
    <x v="0"/>
    <n v="39"/>
    <s v="month"/>
    <x v="208"/>
    <x v="3"/>
    <x v="1"/>
  </r>
  <r>
    <n v="183702574"/>
    <x v="364"/>
    <x v="302"/>
    <x v="0"/>
    <n v="39"/>
    <s v="month"/>
    <x v="11"/>
    <x v="3"/>
    <x v="1"/>
  </r>
  <r>
    <n v="220997288"/>
    <x v="365"/>
    <x v="0"/>
    <x v="0"/>
    <n v="39"/>
    <s v="month"/>
    <x v="0"/>
    <x v="4"/>
    <x v="1"/>
  </r>
  <r>
    <n v="218617631"/>
    <x v="365"/>
    <x v="0"/>
    <x v="0"/>
    <n v="39"/>
    <s v="month"/>
    <x v="0"/>
    <x v="4"/>
    <x v="1"/>
  </r>
  <r>
    <n v="220952702"/>
    <x v="365"/>
    <x v="0"/>
    <x v="0"/>
    <n v="39"/>
    <s v="month"/>
    <x v="0"/>
    <x v="4"/>
    <x v="1"/>
  </r>
  <r>
    <n v="156460574"/>
    <x v="365"/>
    <x v="0"/>
    <x v="0"/>
    <n v="39"/>
    <s v="month"/>
    <x v="0"/>
    <x v="4"/>
    <x v="1"/>
  </r>
  <r>
    <n v="221012872"/>
    <x v="365"/>
    <x v="0"/>
    <x v="0"/>
    <n v="39"/>
    <s v="month"/>
    <x v="0"/>
    <x v="4"/>
    <x v="1"/>
  </r>
  <r>
    <n v="220845656"/>
    <x v="365"/>
    <x v="0"/>
    <x v="0"/>
    <n v="39"/>
    <s v="month"/>
    <x v="0"/>
    <x v="4"/>
    <x v="1"/>
  </r>
  <r>
    <n v="220989516"/>
    <x v="365"/>
    <x v="0"/>
    <x v="0"/>
    <n v="39"/>
    <s v="month"/>
    <x v="0"/>
    <x v="4"/>
    <x v="1"/>
  </r>
  <r>
    <n v="135317128"/>
    <x v="365"/>
    <x v="0"/>
    <x v="0"/>
    <n v="39"/>
    <s v="month"/>
    <x v="0"/>
    <x v="4"/>
    <x v="1"/>
  </r>
  <r>
    <n v="220984730"/>
    <x v="365"/>
    <x v="0"/>
    <x v="0"/>
    <n v="39"/>
    <s v="month"/>
    <x v="0"/>
    <x v="4"/>
    <x v="1"/>
  </r>
  <r>
    <n v="220984628"/>
    <x v="365"/>
    <x v="0"/>
    <x v="0"/>
    <n v="39"/>
    <s v="month"/>
    <x v="0"/>
    <x v="4"/>
    <x v="1"/>
  </r>
  <r>
    <n v="220989226"/>
    <x v="365"/>
    <x v="0"/>
    <x v="0"/>
    <n v="39"/>
    <s v="month"/>
    <x v="0"/>
    <x v="4"/>
    <x v="1"/>
  </r>
  <r>
    <n v="220988969"/>
    <x v="365"/>
    <x v="0"/>
    <x v="0"/>
    <n v="39"/>
    <s v="month"/>
    <x v="0"/>
    <x v="4"/>
    <x v="1"/>
  </r>
  <r>
    <n v="220988022"/>
    <x v="365"/>
    <x v="0"/>
    <x v="0"/>
    <n v="39"/>
    <s v="month"/>
    <x v="0"/>
    <x v="4"/>
    <x v="1"/>
  </r>
  <r>
    <n v="220984390"/>
    <x v="365"/>
    <x v="0"/>
    <x v="0"/>
    <n v="39"/>
    <s v="month"/>
    <x v="0"/>
    <x v="4"/>
    <x v="1"/>
  </r>
  <r>
    <n v="181480437"/>
    <x v="365"/>
    <x v="0"/>
    <x v="0"/>
    <n v="39"/>
    <s v="month"/>
    <x v="0"/>
    <x v="4"/>
    <x v="1"/>
  </r>
  <r>
    <n v="125219153"/>
    <x v="366"/>
    <x v="0"/>
    <x v="0"/>
    <n v="39"/>
    <s v="month"/>
    <x v="0"/>
    <x v="5"/>
    <x v="1"/>
  </r>
  <r>
    <n v="160833652"/>
    <x v="366"/>
    <x v="0"/>
    <x v="0"/>
    <n v="39"/>
    <s v="month"/>
    <x v="0"/>
    <x v="5"/>
    <x v="1"/>
  </r>
  <r>
    <n v="221073196"/>
    <x v="366"/>
    <x v="0"/>
    <x v="0"/>
    <n v="39"/>
    <s v="month"/>
    <x v="0"/>
    <x v="5"/>
    <x v="1"/>
  </r>
  <r>
    <n v="153733292"/>
    <x v="366"/>
    <x v="0"/>
    <x v="0"/>
    <n v="39"/>
    <s v="month"/>
    <x v="0"/>
    <x v="5"/>
    <x v="1"/>
  </r>
  <r>
    <n v="152692003"/>
    <x v="366"/>
    <x v="0"/>
    <x v="0"/>
    <n v="39"/>
    <s v="month"/>
    <x v="0"/>
    <x v="5"/>
    <x v="1"/>
  </r>
  <r>
    <n v="220528931"/>
    <x v="366"/>
    <x v="0"/>
    <x v="0"/>
    <n v="39"/>
    <s v="month"/>
    <x v="0"/>
    <x v="5"/>
    <x v="1"/>
  </r>
  <r>
    <n v="221052611"/>
    <x v="366"/>
    <x v="0"/>
    <x v="0"/>
    <n v="39"/>
    <s v="month"/>
    <x v="0"/>
    <x v="5"/>
    <x v="1"/>
  </r>
  <r>
    <n v="220665801"/>
    <x v="366"/>
    <x v="0"/>
    <x v="0"/>
    <n v="39"/>
    <s v="month"/>
    <x v="0"/>
    <x v="5"/>
    <x v="1"/>
  </r>
  <r>
    <n v="221028388"/>
    <x v="366"/>
    <x v="0"/>
    <x v="0"/>
    <n v="39"/>
    <s v="month"/>
    <x v="0"/>
    <x v="5"/>
    <x v="1"/>
  </r>
  <r>
    <n v="206284545"/>
    <x v="366"/>
    <x v="0"/>
    <x v="0"/>
    <n v="39"/>
    <s v="month"/>
    <x v="0"/>
    <x v="5"/>
    <x v="1"/>
  </r>
  <r>
    <n v="178531928"/>
    <x v="366"/>
    <x v="0"/>
    <x v="0"/>
    <n v="39"/>
    <s v="month"/>
    <x v="0"/>
    <x v="5"/>
    <x v="1"/>
  </r>
  <r>
    <n v="220994271"/>
    <x v="366"/>
    <x v="0"/>
    <x v="0"/>
    <n v="39"/>
    <s v="month"/>
    <x v="0"/>
    <x v="5"/>
    <x v="1"/>
  </r>
  <r>
    <n v="218720472"/>
    <x v="366"/>
    <x v="0"/>
    <x v="0"/>
    <n v="39"/>
    <s v="month"/>
    <x v="0"/>
    <x v="5"/>
    <x v="1"/>
  </r>
  <r>
    <n v="218900441"/>
    <x v="367"/>
    <x v="0"/>
    <x v="0"/>
    <n v="39"/>
    <s v="month"/>
    <x v="0"/>
    <x v="6"/>
    <x v="1"/>
  </r>
  <r>
    <n v="221123938"/>
    <x v="367"/>
    <x v="0"/>
    <x v="0"/>
    <n v="39"/>
    <s v="month"/>
    <x v="0"/>
    <x v="6"/>
    <x v="1"/>
  </r>
  <r>
    <n v="166750222"/>
    <x v="367"/>
    <x v="0"/>
    <x v="0"/>
    <n v="39"/>
    <s v="month"/>
    <x v="0"/>
    <x v="6"/>
    <x v="1"/>
  </r>
  <r>
    <n v="154783053"/>
    <x v="367"/>
    <x v="0"/>
    <x v="0"/>
    <n v="39"/>
    <s v="month"/>
    <x v="0"/>
    <x v="6"/>
    <x v="1"/>
  </r>
  <r>
    <n v="221100604"/>
    <x v="367"/>
    <x v="0"/>
    <x v="0"/>
    <n v="39"/>
    <s v="month"/>
    <x v="0"/>
    <x v="6"/>
    <x v="1"/>
  </r>
  <r>
    <n v="220703723"/>
    <x v="367"/>
    <x v="0"/>
    <x v="0"/>
    <n v="39"/>
    <s v="month"/>
    <x v="0"/>
    <x v="6"/>
    <x v="1"/>
  </r>
  <r>
    <n v="220815627"/>
    <x v="367"/>
    <x v="0"/>
    <x v="0"/>
    <n v="39"/>
    <s v="month"/>
    <x v="0"/>
    <x v="6"/>
    <x v="1"/>
  </r>
  <r>
    <n v="214764106"/>
    <x v="367"/>
    <x v="0"/>
    <x v="0"/>
    <n v="39"/>
    <s v="month"/>
    <x v="0"/>
    <x v="6"/>
    <x v="1"/>
  </r>
  <r>
    <n v="158763940"/>
    <x v="368"/>
    <x v="0"/>
    <x v="0"/>
    <n v="39"/>
    <s v="month"/>
    <x v="0"/>
    <x v="0"/>
    <x v="1"/>
  </r>
  <r>
    <n v="220065316"/>
    <x v="368"/>
    <x v="0"/>
    <x v="0"/>
    <n v="39"/>
    <s v="month"/>
    <x v="0"/>
    <x v="0"/>
    <x v="1"/>
  </r>
  <r>
    <n v="217662862"/>
    <x v="368"/>
    <x v="0"/>
    <x v="0"/>
    <n v="39"/>
    <s v="month"/>
    <x v="0"/>
    <x v="0"/>
    <x v="1"/>
  </r>
  <r>
    <n v="220328388"/>
    <x v="368"/>
    <x v="0"/>
    <x v="0"/>
    <n v="39"/>
    <s v="month"/>
    <x v="0"/>
    <x v="0"/>
    <x v="1"/>
  </r>
  <r>
    <n v="219521019"/>
    <x v="368"/>
    <x v="0"/>
    <x v="0"/>
    <n v="39"/>
    <s v="month"/>
    <x v="0"/>
    <x v="0"/>
    <x v="1"/>
  </r>
  <r>
    <n v="221145374"/>
    <x v="368"/>
    <x v="0"/>
    <x v="0"/>
    <n v="39"/>
    <s v="month"/>
    <x v="0"/>
    <x v="0"/>
    <x v="1"/>
  </r>
  <r>
    <n v="221130434"/>
    <x v="368"/>
    <x v="0"/>
    <x v="0"/>
    <n v="39"/>
    <s v="month"/>
    <x v="0"/>
    <x v="0"/>
    <x v="1"/>
  </r>
  <r>
    <n v="221189604"/>
    <x v="369"/>
    <x v="0"/>
    <x v="0"/>
    <n v="39"/>
    <s v="month"/>
    <x v="0"/>
    <x v="1"/>
    <x v="1"/>
  </r>
  <r>
    <n v="215174643"/>
    <x v="369"/>
    <x v="0"/>
    <x v="0"/>
    <n v="39"/>
    <s v="month"/>
    <x v="0"/>
    <x v="1"/>
    <x v="1"/>
  </r>
  <r>
    <n v="188354637"/>
    <x v="369"/>
    <x v="0"/>
    <x v="0"/>
    <n v="39"/>
    <s v="month"/>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09A52C-559E-45ED-9615-626F693A5324}"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nceled_date">
  <location ref="A28:B29" firstHeaderRow="1" firstDataRow="1" firstDataCol="1"/>
  <pivotFields count="15">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axis="axisRow" dataField="1" showAll="0" measureFilter="1" sortType="descending">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1">
    <i>
      <x v="286"/>
    </i>
  </rowItems>
  <colItems count="1">
    <i/>
  </colItems>
  <dataFields count="1">
    <dataField name="Number of Cancellations" fld="2" subtotal="count" baseField="2" baseItem="286"/>
  </dataFields>
  <pivotTableStyleInfo name="PivotStyleLight10 2" showRowHeaders="1" showColHeaders="1" showRowStripes="0" showColStripes="0" showLastColumn="1"/>
  <filters count="1">
    <filter fld="2"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3FDA7B-61D3-4EBD-9360-97BEE77F57B2}"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reated_date">
  <location ref="A15:B17" firstHeaderRow="1" firstDataRow="1" firstDataCol="1"/>
  <pivotFields count="15">
    <pivotField showAll="0"/>
    <pivotField axis="axisRow" numFmtId="14" showAll="0" measureFilter="1" sortType="descending">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autoSortScope>
        <pivotArea dataOnly="0" outline="0" fieldPosition="0">
          <references count="1">
            <reference field="4294967294" count="1" selected="0">
              <x v="0"/>
            </reference>
          </references>
        </pivotArea>
      </autoSortScope>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dataField="1" showAll="0"/>
    <pivotField showAll="0"/>
    <pivotField showAll="0"/>
    <pivotField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2">
    <i>
      <x v="246"/>
    </i>
    <i>
      <x v="72"/>
    </i>
  </rowItems>
  <colItems count="1">
    <i/>
  </colItems>
  <dataFields count="1">
    <dataField name="Number of Subscription" fld="3" subtotal="count" baseField="1" baseItem="246"/>
  </dataFields>
  <pivotTableStyleInfo name="PivotStyleLight10 2"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BE313C-BA8E-45A1-A818-AF2ABD9413D0}"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ncellation_Duration">
  <location ref="E28:F29" firstHeaderRow="1" firstDataRow="1" firstDataCol="1"/>
  <pivotFields count="15">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axis="axisRow" dataField="1"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1">
    <i>
      <x/>
    </i>
  </rowItems>
  <colItems count="1">
    <i/>
  </colItems>
  <dataFields count="1">
    <dataField name="Number of Cancelletion" fld="6" subtotal="count" baseField="6" baseItem="0"/>
  </dataFields>
  <pivotTableStyleInfo name="PivotStyleLight10 2" showRowHeaders="1" showColHeaders="1" showRowStripes="0" showColStripes="0" showLastColumn="1"/>
  <filters count="1">
    <filter fld="6" type="captionEqual" evalOrder="-1" id="1" stringValue1="0">
      <autoFilter ref="A1">
        <filterColumn colId="0">
          <filters>
            <filter val="0"/>
          </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7D2D0E-3A67-4DAA-BCA0-32ADD52FF84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ubscriptions">
  <location ref="D8:E11" firstHeaderRow="1" firstDataRow="1" firstDataCol="1"/>
  <pivotFields count="15">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axis="axisRow" dataField="1" showAll="0">
      <items count="3">
        <item n="Unpaid" x="1"/>
        <item n="Paid" x="0"/>
        <item t="default"/>
      </items>
    </pivotField>
    <pivotField showAll="0"/>
    <pivotField showAll="0"/>
    <pivotField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Percentage" fld="3" subtotal="count" showDataAs="percentOfTotal" baseField="0" baseItem="0" numFmtId="10"/>
  </dataFields>
  <pivotTableStyleInfo name="PivotStyleLight10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94628C-7A2A-4B32-811F-6ED5713F3252}" name="PivotTable2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ancellation Duratioon">
  <location ref="A34:B37" firstHeaderRow="1" firstDataRow="1" firstDataCol="1"/>
  <pivotFields count="15">
    <pivotField dataField="1"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axis="axisRow" multipleItemSelectionAllowed="1"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3">
    <i>
      <x/>
    </i>
    <i>
      <x v="1"/>
    </i>
    <i t="grand">
      <x/>
    </i>
  </rowItems>
  <colItems count="1">
    <i/>
  </colItems>
  <dataFields count="1">
    <dataField name="Number of Cancelletion" fld="0" subtotal="count" baseField="6" baseItem="0"/>
  </dataFields>
  <formats count="1">
    <format dxfId="1">
      <pivotArea field="6" type="button" dataOnly="0" labelOnly="1" outline="0" axis="axisRow" fieldPosition="0"/>
    </format>
  </formats>
  <pivotTableStyleInfo name="PivotStyleLight10 2" showRowHeaders="1" showColHeaders="1" showRowStripes="0" showColStripes="0" showLastColumn="1"/>
  <filters count="1">
    <filter fld="6" type="captionBetween" evalOrder="-1" id="3" stringValue1="0" stringValue2="1">
      <autoFilter ref="A1">
        <filterColumn colId="0">
          <customFilters and="1">
            <customFilter operator="greaterThanOrEqual" val="0"/>
            <customFilter operator="lessThanOrEqual" val="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8E9E55-7C6F-43A7-BE9B-CCD71D908668}" name="PivotTable2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rowHeaderCaption="WeekDays">
  <location ref="E89:G96" firstHeaderRow="0" firstDataRow="1" firstDataCol="1"/>
  <pivotFields count="15">
    <pivotField showAll="0"/>
    <pivotField dataField="1"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axis="axisRow" showAll="0">
      <items count="8">
        <item x="3"/>
        <item x="4"/>
        <item x="5"/>
        <item x="6"/>
        <item x="0"/>
        <item x="1"/>
        <item x="2"/>
        <item t="default"/>
      </items>
    </pivotField>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7">
    <i>
      <x/>
    </i>
    <i>
      <x v="1"/>
    </i>
    <i>
      <x v="2"/>
    </i>
    <i>
      <x v="3"/>
    </i>
    <i>
      <x v="4"/>
    </i>
    <i>
      <x v="5"/>
    </i>
    <i>
      <x v="6"/>
    </i>
  </rowItems>
  <colFields count="1">
    <field x="-2"/>
  </colFields>
  <colItems count="2">
    <i>
      <x/>
    </i>
    <i i="1">
      <x v="1"/>
    </i>
  </colItems>
  <dataFields count="2">
    <dataField name="Number Of Subscription" fld="1" subtotal="count" baseField="7" baseItem="0"/>
    <dataField name="% Subscription per Day" fld="1" subtotal="count" showDataAs="percentOfTotal" baseField="0" baseItem="0" numFmtId="10"/>
  </dataFields>
  <chartFormats count="2">
    <chartFormat chart="12" format="11"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1"/>
          </reference>
        </references>
      </pivotArea>
    </chartFormat>
  </chartFormats>
  <pivotTableStyleInfo name="PivotStyleLight10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68ADD3-B024-4242-B001-9FE8C17C3128}"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ncellation_Duration">
  <location ref="A44:B45" firstHeaderRow="1" firstDataRow="1" firstDataCol="1"/>
  <pivotFields count="15">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axis="axisRow" dataField="1" showAll="0" measureFilter="1">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1">
    <i>
      <x v="1"/>
    </i>
  </rowItems>
  <colItems count="1">
    <i/>
  </colItems>
  <dataFields count="1">
    <dataField name="Number of Cancellation" fld="6" subtotal="count" baseField="6" baseItem="1"/>
  </dataFields>
  <pivotTableStyleInfo name="PivotStyleLight10 2" showRowHeaders="1" showColHeaders="1" showRowStripes="0" showColStripes="0" showLastColumn="1"/>
  <filters count="1">
    <filter fld="6"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C464E2-A991-4AC8-8A9E-CC9B6AD2A885}" name="PivotTable9"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Canceled_date">
  <location ref="E36:E37" firstHeaderRow="1" firstDataRow="1" firstDataCol="0" rowPageCount="1" colPageCount="1"/>
  <pivotFields count="15">
    <pivotField dataField="1"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axis="axisPage" multipleItemSelectionAllowed="1" showAll="0">
      <items count="238">
        <item h="1" x="11"/>
        <item h="1" x="1"/>
        <item h="1" x="208"/>
        <item h="1" x="175"/>
        <item h="1" x="37"/>
        <item h="1" x="225"/>
        <item h="1" x="230"/>
        <item h="1" x="42"/>
        <item h="1" x="63"/>
        <item h="1" x="173"/>
        <item h="1" x="79"/>
        <item h="1" x="125"/>
        <item h="1" x="71"/>
        <item h="1" x="214"/>
        <item h="1" x="10"/>
        <item h="1" x="134"/>
        <item h="1" x="178"/>
        <item h="1" x="118"/>
        <item h="1" x="23"/>
        <item h="1" x="184"/>
        <item h="1" x="40"/>
        <item h="1" x="86"/>
        <item h="1" x="2"/>
        <item h="1" x="182"/>
        <item h="1" x="15"/>
        <item h="1" x="9"/>
        <item h="1" x="20"/>
        <item h="1" x="62"/>
        <item h="1" x="44"/>
        <item h="1"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h="1" x="0"/>
        <item t="default"/>
      </items>
    </pivotField>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pageFields count="1">
    <pageField fld="6" hier="-1"/>
  </pageFields>
  <dataFields count="1">
    <dataField name="Number of Subscriptions" fld="0" subtotal="count" baseField="0" baseItem="0"/>
  </dataFields>
  <formats count="1">
    <format dxfId="2">
      <pivotArea field="6" type="button" dataOnly="0" labelOnly="1" outline="0" axis="axisPage" fieldPosition="0"/>
    </format>
  </formats>
  <pivotTableStyleInfo name="PivotStyleLight10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BC6F9E-9597-4B5C-965E-BE111E3689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15">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dataField="1"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Number of Cancellation" fld="2" subtotal="count" baseField="0" baseItem="0"/>
  </dataFields>
  <pivotTableStyleInfo name="PivotStyleLight10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467943-AB35-4D4C-9E53-D4556A53203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ncellation_Duration">
  <location ref="D15:E18" firstHeaderRow="1" firstDataRow="1" firstDataCol="1"/>
  <pivotFields count="15">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dataField="1"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axis="axisRow"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3">
    <i>
      <x/>
    </i>
    <i>
      <x v="1"/>
    </i>
    <i t="grand">
      <x/>
    </i>
  </rowItems>
  <colItems count="1">
    <i/>
  </colItems>
  <dataFields count="1">
    <dataField name="Number of Subscription" fld="2" subtotal="count" baseField="6" baseItem="0"/>
  </dataFields>
  <pivotTableStyleInfo name="PivotStyleLight10 2" showRowHeaders="1" showColHeaders="1" showRowStripes="0" showColStripes="0" showLastColumn="1"/>
  <filters count="1">
    <filter fld="6" type="captionBetween" evalOrder="-1" id="3" stringValue1="0" stringValue2="1">
      <autoFilter ref="A1">
        <filterColumn colId="0">
          <customFilters and="1">
            <customFilter operator="greaterThanOrEqual" val="0"/>
            <customFilter operator="lessThanOrEqual" val="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4D4927-6955-4916-AA8C-9EFCA55F47B7}"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ubscriptions">
  <location ref="A89:B92" firstHeaderRow="1" firstDataRow="1" firstDataCol="1"/>
  <pivotFields count="15">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axis="axisRow" dataField="1" showAll="0">
      <items count="3">
        <item n="Unpaid" x="1"/>
        <item n="Paid" x="0"/>
        <item t="default"/>
      </items>
    </pivotField>
    <pivotField showAll="0"/>
    <pivotField showAll="0"/>
    <pivotField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Percentage" fld="3" subtotal="count" showDataAs="percentOfTotal" baseField="0" baseItem="0" numFmtId="10"/>
  </dataFields>
  <chartFormats count="7">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3" count="1" selected="0">
            <x v="0"/>
          </reference>
        </references>
      </pivotArea>
    </chartFormat>
    <chartFormat chart="12" format="12">
      <pivotArea type="data" outline="0" fieldPosition="0">
        <references count="2">
          <reference field="4294967294" count="1" selected="0">
            <x v="0"/>
          </reference>
          <reference field="3" count="1" selected="0">
            <x v="1"/>
          </reference>
        </references>
      </pivotArea>
    </chartFormat>
  </chartFormats>
  <pivotTableStyleInfo name="PivotStyleLight10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6A6BB4F-1757-4894-91B7-9514DAE11B10}"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ubscriptions">
  <location ref="G8:G9" firstHeaderRow="1" firstDataRow="1" firstDataCol="0"/>
  <pivotFields count="15">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dataField="1"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Cancellation Duration" fld="6" subtotal="average" baseField="0" baseItem="0"/>
  </dataFields>
  <formats count="1">
    <format dxfId="3">
      <pivotArea outline="0" collapsedLevelsAreSubtotals="1" fieldPosition="0"/>
    </format>
  </formats>
  <pivotTableStyleInfo name="PivotStyleLight10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7164CBA-A4A3-4194-AB66-402E8698ACC9}" name="PivotTable22"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9" rowHeaderCaption="Year">
  <location ref="E72:F74" firstHeaderRow="1" firstDataRow="1" firstDataCol="1"/>
  <pivotFields count="15">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dataField="1"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1">
    <field x="14"/>
  </rowFields>
  <rowItems count="2">
    <i>
      <x v="1"/>
    </i>
    <i>
      <x v="2"/>
    </i>
  </rowItems>
  <colItems count="1">
    <i/>
  </colItems>
  <dataFields count="1">
    <dataField name="Number of Cancellation Subscription" fld="2" subtotal="count" baseField="14" baseItem="1"/>
  </dataFields>
  <chartFormats count="1">
    <chartFormat chart="15" format="4" series="1">
      <pivotArea type="data" outline="0" fieldPosition="0">
        <references count="1">
          <reference field="4294967294" count="1" selected="0">
            <x v="0"/>
          </reference>
        </references>
      </pivotArea>
    </chartFormat>
  </chartFormats>
  <pivotTableStyleInfo name="PivotStyleLight10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0C8ADBB-BEB4-4D44-926B-A42BACB92E95}"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Wednesday" colHeaderCaption="Number of Subscription">
  <location ref="E44:H53" firstHeaderRow="1" firstDataRow="2" firstDataCol="1"/>
  <pivotFields count="15">
    <pivotField dataField="1"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axis="axisCol" showAll="0">
      <items count="3">
        <item n="Unpaid" x="1"/>
        <item n="Paid" x="0"/>
        <item t="default"/>
      </items>
    </pivotField>
    <pivotField showAll="0"/>
    <pivotField showAll="0"/>
    <pivotField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axis="axisRow" showAll="0">
      <items count="8">
        <item x="3"/>
        <item x="4"/>
        <item x="5"/>
        <item x="6"/>
        <item x="0"/>
        <item x="1"/>
        <item x="2"/>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8">
    <i>
      <x/>
    </i>
    <i>
      <x v="1"/>
    </i>
    <i>
      <x v="2"/>
    </i>
    <i>
      <x v="3"/>
    </i>
    <i>
      <x v="4"/>
    </i>
    <i>
      <x v="5"/>
    </i>
    <i>
      <x v="6"/>
    </i>
    <i t="grand">
      <x/>
    </i>
  </rowItems>
  <colFields count="1">
    <field x="3"/>
  </colFields>
  <colItems count="3">
    <i>
      <x/>
    </i>
    <i>
      <x v="1"/>
    </i>
    <i t="grand">
      <x/>
    </i>
  </colItems>
  <dataFields count="1">
    <dataField name="Subscription" fld="0" subtotal="count" baseField="0" baseItem="0"/>
  </dataFields>
  <pivotTableStyleInfo name="PivotStyleLight10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F5D03CC-289C-4802-912D-2F0E36235A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5">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dataField="1" showAll="0"/>
    <pivotField showAll="0"/>
    <pivotField showAll="0"/>
    <pivotField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Number of Subscriptions" fld="3" subtotal="count" baseField="0" baseItem="0"/>
  </dataFields>
  <pivotTableStyleInfo name="PivotStyleLight10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268FB48-DED8-44E9-9748-00F4484B1B18}" name="PivotTable1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7" rowHeaderCaption="Months">
  <location ref="A72:B84" firstHeaderRow="1" firstDataRow="1" firstDataCol="1"/>
  <pivotFields count="15">
    <pivotField dataField="1"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12">
    <i>
      <x v="1"/>
    </i>
    <i>
      <x v="2"/>
    </i>
    <i>
      <x v="3"/>
    </i>
    <i>
      <x v="4"/>
    </i>
    <i>
      <x v="5"/>
    </i>
    <i>
      <x v="6"/>
    </i>
    <i>
      <x v="7"/>
    </i>
    <i>
      <x v="8"/>
    </i>
    <i>
      <x v="9"/>
    </i>
    <i>
      <x v="10"/>
    </i>
    <i>
      <x v="11"/>
    </i>
    <i>
      <x v="12"/>
    </i>
  </rowItems>
  <colItems count="1">
    <i/>
  </colItems>
  <dataFields count="1">
    <dataField name="New Subscription" fld="0" subtotal="count" baseField="12" baseItem="1"/>
  </dataFields>
  <chartFormats count="1">
    <chartFormat chart="27" format="4" series="1">
      <pivotArea type="data" outline="0" fieldPosition="0">
        <references count="1">
          <reference field="4294967294" count="1" selected="0">
            <x v="0"/>
          </reference>
        </references>
      </pivotArea>
    </chartFormat>
  </chartFormats>
  <pivotTableStyleInfo name="PivotStyleLight10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D358D87-F04E-4630-9CC0-C4F7C654388E}" name="PivotTable1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ncellation_Duration">
  <location ref="A59:C61" firstHeaderRow="0" firstDataRow="1" firstDataCol="1"/>
  <pivotFields count="15">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dataField="1"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axis="axisRow" dataField="1" showAll="0">
      <items count="3">
        <item n="Unpaid" x="1"/>
        <item n="Paid" x="0"/>
        <item t="default"/>
      </items>
    </pivotField>
    <pivotField showAll="0"/>
    <pivotField showAll="0"/>
    <pivotField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i>
    <i>
      <x v="1"/>
    </i>
  </rowItems>
  <colFields count="1">
    <field x="-2"/>
  </colFields>
  <colItems count="2">
    <i>
      <x/>
    </i>
    <i i="1">
      <x v="1"/>
    </i>
  </colItems>
  <dataFields count="2">
    <dataField name="Total Subscriptions" fld="3" subtotal="count" baseField="0" baseItem="0"/>
    <dataField name="Number of Cancelletion" fld="2" subtotal="count" baseField="3" baseItem="0"/>
  </dataFields>
  <pivotTableStyleInfo name="PivotStyleLight10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F96324B-1082-4B72-8EE7-F1CB945C493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ncellation_Duration">
  <location ref="F17:F18" firstHeaderRow="1" firstDataRow="1" firstDataCol="0"/>
  <pivotFields count="15">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dataField="1"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Total Number of Cancellation" fld="2" subtotal="count" baseField="6" baseItem="0"/>
  </dataFields>
  <formats count="1">
    <format dxfId="4">
      <pivotArea outline="0" collapsedLevelsAreSubtotals="1" fieldPosition="0"/>
    </format>
  </formats>
  <pivotTableStyleInfo name="PivotStyleLight10 2" showRowHeaders="1" showColHeaders="1" showRowStripes="0" showColStripes="0" showLastColumn="1"/>
  <filters count="1">
    <filter fld="6" type="captionBetween" evalOrder="-1" id="3" stringValue1="0" stringValue2="1">
      <autoFilter ref="A1">
        <filterColumn colId="0">
          <customFilters and="1">
            <customFilter operator="greaterThanOrEqual" val="0"/>
            <customFilter operator="lessThanOrEqual" val="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ate_Year" xr10:uid="{516A863D-4BD7-450F-AD60-7F48BDBA038A}" sourceName="Create_Year">
  <pivotTables>
    <pivotTable tabId="13" name="PivotTable4"/>
    <pivotTable tabId="13" name="PivotTable1"/>
    <pivotTable tabId="13" name="PivotTable10"/>
    <pivotTable tabId="13" name="PivotTable11"/>
    <pivotTable tabId="13" name="PivotTable12"/>
    <pivotTable tabId="13" name="PivotTable13"/>
    <pivotTable tabId="13" name="PivotTable15"/>
    <pivotTable tabId="13" name="PivotTable17"/>
    <pivotTable tabId="13" name="PivotTable19"/>
    <pivotTable tabId="13" name="PivotTable2"/>
    <pivotTable tabId="13" name="PivotTable20"/>
    <pivotTable tabId="13" name="PivotTable21"/>
    <pivotTable tabId="13" name="PivotTable22"/>
    <pivotTable tabId="13" name="PivotTable6"/>
    <pivotTable tabId="13" name="PivotTable7"/>
    <pivotTable tabId="13" name="PivotTable8"/>
    <pivotTable tabId="13" name="PivotTable9"/>
    <pivotTable tabId="13" name="PivotTable25"/>
  </pivotTables>
  <data>
    <tabular pivotCacheId="46361595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eate_Year" xr10:uid="{3B2C7532-B7DD-4934-8852-438AE71C1D5E}" cache="Slicer_Create_Year" caption="Create_Year" columnCount="2"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2FCEA9-9A05-4D69-A569-8D4A7C4105BC}" name="Table1" displayName="Table1" ref="A1:I3070" totalsRowShown="0" headerRowDxfId="9">
  <autoFilter ref="A1:I3070" xr:uid="{9B2FCEA9-9A05-4D69-A569-8D4A7C4105BC}"/>
  <tableColumns count="9">
    <tableColumn id="1" xr3:uid="{93E3746F-4ABF-4F2B-B888-BBC4AE3D8A9E}" name="customer_id"/>
    <tableColumn id="2" xr3:uid="{DB8C1E3B-2E2D-43A9-B097-737EC449CCAC}" name="created_date" dataDxfId="8"/>
    <tableColumn id="3" xr3:uid="{A4595D0C-EC1F-44FC-BAA5-4D145C8DD75B}" name="canceled_date"/>
    <tableColumn id="4" xr3:uid="{61B762C9-F06E-4264-BB9B-579DA4887BB0}" name="was_subscription_paid"/>
    <tableColumn id="5" xr3:uid="{AC0EDE77-B401-490B-B647-F0FB54CB9B01}" name="subscription_cost"/>
    <tableColumn id="6" xr3:uid="{D28B9BFE-12E4-4226-9190-7A2D4B780B21}" name="subscription_interval"/>
    <tableColumn id="7" xr3:uid="{E4CF8849-1B54-4E51-9DE7-42FF3995C897}" name="Cancellation Duration" dataDxfId="7"/>
    <tableColumn id="8" xr3:uid="{A6C9AB7C-129D-4978-A342-8F03E38DAE6B}" name="Created_weekdays" dataDxfId="6"/>
    <tableColumn id="9" xr3:uid="{4613C7DE-4DF7-4D83-B34D-BE16E04A31D0}" name="Create_Year"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3.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83F21-82B8-421F-B4DF-EB579EE26811}">
  <dimension ref="E1:S4"/>
  <sheetViews>
    <sheetView showGridLines="0" zoomScale="90" zoomScaleNormal="90" workbookViewId="0">
      <selection activeCell="X7" sqref="X7"/>
    </sheetView>
  </sheetViews>
  <sheetFormatPr defaultRowHeight="14.4" x14ac:dyDescent="0.3"/>
  <sheetData>
    <row r="1" spans="5:19" x14ac:dyDescent="0.3">
      <c r="E1" s="29" t="s">
        <v>10</v>
      </c>
      <c r="F1" s="29"/>
      <c r="G1" s="29"/>
      <c r="H1" s="29"/>
      <c r="I1" s="29"/>
      <c r="J1" s="29"/>
      <c r="K1" s="29"/>
      <c r="L1" s="29"/>
      <c r="M1" s="29"/>
      <c r="N1" s="29"/>
      <c r="O1" s="29"/>
      <c r="P1" s="29"/>
      <c r="Q1" s="29"/>
      <c r="R1" s="29"/>
      <c r="S1" s="29"/>
    </row>
    <row r="2" spans="5:19" x14ac:dyDescent="0.3">
      <c r="E2" s="29"/>
      <c r="F2" s="29"/>
      <c r="G2" s="29"/>
      <c r="H2" s="29"/>
      <c r="I2" s="29"/>
      <c r="J2" s="29"/>
      <c r="K2" s="29"/>
      <c r="L2" s="29"/>
      <c r="M2" s="29"/>
      <c r="N2" s="29"/>
      <c r="O2" s="29"/>
      <c r="P2" s="29"/>
      <c r="Q2" s="29"/>
      <c r="R2" s="29"/>
      <c r="S2" s="29"/>
    </row>
    <row r="3" spans="5:19" x14ac:dyDescent="0.3">
      <c r="E3" s="29"/>
      <c r="F3" s="29"/>
      <c r="G3" s="29"/>
      <c r="H3" s="29"/>
      <c r="I3" s="29"/>
      <c r="J3" s="29"/>
      <c r="K3" s="29"/>
      <c r="L3" s="29"/>
      <c r="M3" s="29"/>
      <c r="N3" s="29"/>
      <c r="O3" s="29"/>
      <c r="P3" s="29"/>
      <c r="Q3" s="29"/>
      <c r="R3" s="29"/>
      <c r="S3" s="29"/>
    </row>
    <row r="4" spans="5:19" x14ac:dyDescent="0.3">
      <c r="E4" s="29"/>
      <c r="F4" s="29"/>
      <c r="G4" s="29"/>
      <c r="H4" s="29"/>
      <c r="I4" s="29"/>
      <c r="J4" s="29"/>
      <c r="K4" s="29"/>
      <c r="L4" s="29"/>
      <c r="M4" s="29"/>
      <c r="N4" s="29"/>
      <c r="O4" s="29"/>
      <c r="P4" s="29"/>
      <c r="Q4" s="29"/>
      <c r="R4" s="29"/>
      <c r="S4" s="29"/>
    </row>
  </sheetData>
  <mergeCells count="1">
    <mergeCell ref="E1:S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A6C05-BDE1-4850-94D5-388AB18FC3D9}">
  <dimension ref="B2:E8"/>
  <sheetViews>
    <sheetView showGridLines="0" topLeftCell="B1" zoomScale="127" zoomScaleNormal="140" workbookViewId="0">
      <selection activeCell="B8" sqref="B2:E8"/>
    </sheetView>
  </sheetViews>
  <sheetFormatPr defaultRowHeight="14.4" x14ac:dyDescent="0.3"/>
  <cols>
    <col min="2" max="2" width="19.5546875" bestFit="1" customWidth="1"/>
    <col min="3" max="3" width="18.44140625" bestFit="1" customWidth="1"/>
    <col min="4" max="4" width="14.6640625" customWidth="1"/>
    <col min="5" max="5" width="90.21875" bestFit="1" customWidth="1"/>
  </cols>
  <sheetData>
    <row r="2" spans="2:5" x14ac:dyDescent="0.3">
      <c r="B2" s="5" t="s">
        <v>11</v>
      </c>
      <c r="C2" s="5" t="s">
        <v>12</v>
      </c>
      <c r="D2" s="5" t="s">
        <v>13</v>
      </c>
      <c r="E2" s="5" t="s">
        <v>9</v>
      </c>
    </row>
    <row r="3" spans="2:5" x14ac:dyDescent="0.3">
      <c r="B3" s="6" t="s">
        <v>0</v>
      </c>
      <c r="C3" s="6" t="s">
        <v>14</v>
      </c>
      <c r="D3" s="7" t="s">
        <v>15</v>
      </c>
      <c r="E3" s="6" t="s">
        <v>16</v>
      </c>
    </row>
    <row r="4" spans="2:5" x14ac:dyDescent="0.3">
      <c r="B4" s="6" t="s">
        <v>1</v>
      </c>
      <c r="C4" s="6" t="s">
        <v>17</v>
      </c>
      <c r="D4" s="8" t="s">
        <v>18</v>
      </c>
      <c r="E4" s="6" t="s">
        <v>19</v>
      </c>
    </row>
    <row r="5" spans="2:5" x14ac:dyDescent="0.3">
      <c r="B5" s="6" t="s">
        <v>2</v>
      </c>
      <c r="C5" s="6" t="s">
        <v>17</v>
      </c>
      <c r="D5" s="8" t="s">
        <v>29</v>
      </c>
      <c r="E5" s="6" t="s">
        <v>20</v>
      </c>
    </row>
    <row r="6" spans="2:5" x14ac:dyDescent="0.3">
      <c r="B6" s="6" t="s">
        <v>3</v>
      </c>
      <c r="C6" s="6" t="s">
        <v>21</v>
      </c>
      <c r="D6" s="9" t="s">
        <v>22</v>
      </c>
      <c r="E6" s="6" t="s">
        <v>23</v>
      </c>
    </row>
    <row r="7" spans="2:5" x14ac:dyDescent="0.3">
      <c r="B7" s="6" t="s">
        <v>4</v>
      </c>
      <c r="C7" s="6" t="s">
        <v>24</v>
      </c>
      <c r="D7" s="6"/>
      <c r="E7" s="6" t="s">
        <v>25</v>
      </c>
    </row>
    <row r="8" spans="2:5" x14ac:dyDescent="0.3">
      <c r="B8" s="6" t="s">
        <v>5</v>
      </c>
      <c r="C8" s="6" t="s">
        <v>26</v>
      </c>
      <c r="D8" s="10" t="s">
        <v>27</v>
      </c>
      <c r="E8" s="6"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6200E-5002-43A9-BF0E-62544F686903}">
  <dimension ref="A12:T50"/>
  <sheetViews>
    <sheetView showGridLines="0" topLeftCell="A44" zoomScaleNormal="100" workbookViewId="0">
      <selection activeCell="R32" sqref="R32"/>
    </sheetView>
  </sheetViews>
  <sheetFormatPr defaultRowHeight="14.4" x14ac:dyDescent="0.3"/>
  <sheetData>
    <row r="12" spans="20:20" x14ac:dyDescent="0.3">
      <c r="T12" s="3"/>
    </row>
    <row r="13" spans="20:20" x14ac:dyDescent="0.3">
      <c r="T13" s="4"/>
    </row>
    <row r="14" spans="20:20" x14ac:dyDescent="0.3">
      <c r="T14" s="4"/>
    </row>
    <row r="15" spans="20:20" x14ac:dyDescent="0.3">
      <c r="T15" s="4"/>
    </row>
    <row r="16" spans="20:20" x14ac:dyDescent="0.3">
      <c r="T16" s="4"/>
    </row>
    <row r="17" spans="20:20" x14ac:dyDescent="0.3">
      <c r="T17" s="4"/>
    </row>
    <row r="18" spans="20:20" x14ac:dyDescent="0.3">
      <c r="T18" s="4"/>
    </row>
    <row r="19" spans="20:20" x14ac:dyDescent="0.3">
      <c r="T19" s="4"/>
    </row>
    <row r="34" spans="1:1" x14ac:dyDescent="0.3">
      <c r="A34" s="2"/>
    </row>
    <row r="50" spans="3:15" ht="18" x14ac:dyDescent="0.35">
      <c r="C50" s="30" t="s">
        <v>30</v>
      </c>
      <c r="D50" s="30"/>
      <c r="E50" s="30"/>
      <c r="F50" s="30"/>
      <c r="G50" s="30"/>
      <c r="H50" s="30"/>
      <c r="I50" s="30"/>
      <c r="J50" s="30"/>
      <c r="K50" s="30"/>
      <c r="L50" s="30"/>
      <c r="M50" s="30"/>
      <c r="N50" s="30"/>
      <c r="O50" s="30"/>
    </row>
  </sheetData>
  <mergeCells count="1">
    <mergeCell ref="C50:O5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7EAF1-AC15-42B1-9FFC-A7348C62DC76}">
  <dimension ref="A1:J3070"/>
  <sheetViews>
    <sheetView workbookViewId="0">
      <selection activeCell="B1" sqref="B1"/>
    </sheetView>
  </sheetViews>
  <sheetFormatPr defaultColWidth="12.44140625" defaultRowHeight="14.4" x14ac:dyDescent="0.3"/>
  <cols>
    <col min="1" max="1" width="13.33203125" customWidth="1"/>
    <col min="2" max="2" width="14" customWidth="1"/>
    <col min="3" max="3" width="15.109375" customWidth="1"/>
    <col min="4" max="4" width="22" customWidth="1"/>
    <col min="5" max="5" width="17.5546875" customWidth="1"/>
    <col min="6" max="6" width="20.44140625" customWidth="1"/>
    <col min="7" max="7" width="21.5546875" style="19" bestFit="1" customWidth="1"/>
  </cols>
  <sheetData>
    <row r="1" spans="1:10" x14ac:dyDescent="0.3">
      <c r="A1" s="2" t="s">
        <v>0</v>
      </c>
      <c r="B1" s="2" t="s">
        <v>1</v>
      </c>
      <c r="C1" s="2" t="s">
        <v>2</v>
      </c>
      <c r="D1" s="2" t="s">
        <v>5</v>
      </c>
      <c r="E1" s="2" t="s">
        <v>3</v>
      </c>
      <c r="F1" s="2" t="s">
        <v>4</v>
      </c>
      <c r="G1" s="20" t="s">
        <v>31</v>
      </c>
      <c r="H1" s="11" t="s">
        <v>32</v>
      </c>
      <c r="I1" s="11" t="s">
        <v>33</v>
      </c>
      <c r="J1" s="2"/>
    </row>
    <row r="2" spans="1:10" x14ac:dyDescent="0.3">
      <c r="A2">
        <v>154536156</v>
      </c>
      <c r="B2" s="1">
        <v>44805</v>
      </c>
      <c r="D2" t="s">
        <v>7</v>
      </c>
      <c r="E2">
        <v>39</v>
      </c>
      <c r="F2" t="s">
        <v>6</v>
      </c>
      <c r="H2" t="s">
        <v>64</v>
      </c>
      <c r="I2">
        <v>2022</v>
      </c>
    </row>
    <row r="3" spans="1:10" x14ac:dyDescent="0.3">
      <c r="A3">
        <v>149713408</v>
      </c>
      <c r="B3" s="1">
        <v>44805</v>
      </c>
      <c r="C3" s="1">
        <v>44806</v>
      </c>
      <c r="D3" t="s">
        <v>8</v>
      </c>
      <c r="E3">
        <v>39</v>
      </c>
      <c r="F3" t="s">
        <v>6</v>
      </c>
      <c r="G3" s="19">
        <v>1</v>
      </c>
      <c r="H3" t="s">
        <v>64</v>
      </c>
      <c r="I3">
        <v>2022</v>
      </c>
    </row>
    <row r="4" spans="1:10" x14ac:dyDescent="0.3">
      <c r="A4">
        <v>153756284</v>
      </c>
      <c r="B4" s="1">
        <v>44805</v>
      </c>
      <c r="C4" s="1">
        <v>44806</v>
      </c>
      <c r="D4" t="s">
        <v>8</v>
      </c>
      <c r="E4">
        <v>39</v>
      </c>
      <c r="F4" t="s">
        <v>6</v>
      </c>
      <c r="G4" s="19">
        <v>1</v>
      </c>
      <c r="H4" t="s">
        <v>64</v>
      </c>
      <c r="I4">
        <v>2022</v>
      </c>
    </row>
    <row r="5" spans="1:10" x14ac:dyDescent="0.3">
      <c r="A5">
        <v>121253113</v>
      </c>
      <c r="B5" s="1">
        <v>44805</v>
      </c>
      <c r="C5" s="1">
        <v>44827</v>
      </c>
      <c r="D5" t="s">
        <v>7</v>
      </c>
      <c r="E5">
        <v>39</v>
      </c>
      <c r="F5" t="s">
        <v>6</v>
      </c>
      <c r="G5" s="19">
        <v>22</v>
      </c>
      <c r="H5" t="s">
        <v>64</v>
      </c>
      <c r="I5">
        <v>2022</v>
      </c>
    </row>
    <row r="6" spans="1:10" x14ac:dyDescent="0.3">
      <c r="A6">
        <v>154467210</v>
      </c>
      <c r="B6" s="1">
        <v>44805</v>
      </c>
      <c r="C6" s="1">
        <v>45106</v>
      </c>
      <c r="D6" t="s">
        <v>7</v>
      </c>
      <c r="E6">
        <v>39</v>
      </c>
      <c r="F6" t="s">
        <v>6</v>
      </c>
      <c r="G6" s="19">
        <v>301</v>
      </c>
      <c r="H6" t="s">
        <v>64</v>
      </c>
      <c r="I6">
        <v>2022</v>
      </c>
    </row>
    <row r="7" spans="1:10" x14ac:dyDescent="0.3">
      <c r="A7">
        <v>154510811</v>
      </c>
      <c r="B7" s="1">
        <v>44805</v>
      </c>
      <c r="C7" s="1">
        <v>45054</v>
      </c>
      <c r="D7" t="s">
        <v>7</v>
      </c>
      <c r="E7">
        <v>39</v>
      </c>
      <c r="F7" t="s">
        <v>6</v>
      </c>
      <c r="G7" s="19">
        <v>249</v>
      </c>
      <c r="H7" t="s">
        <v>64</v>
      </c>
      <c r="I7">
        <v>2022</v>
      </c>
    </row>
    <row r="8" spans="1:10" x14ac:dyDescent="0.3">
      <c r="A8">
        <v>154494346</v>
      </c>
      <c r="B8" s="1">
        <v>44805</v>
      </c>
      <c r="C8" s="1">
        <v>44891</v>
      </c>
      <c r="D8" t="s">
        <v>7</v>
      </c>
      <c r="E8">
        <v>39</v>
      </c>
      <c r="F8" t="s">
        <v>6</v>
      </c>
      <c r="G8" s="19">
        <v>86</v>
      </c>
      <c r="H8" t="s">
        <v>64</v>
      </c>
      <c r="I8">
        <v>2022</v>
      </c>
    </row>
    <row r="9" spans="1:10" x14ac:dyDescent="0.3">
      <c r="A9">
        <v>148671505</v>
      </c>
      <c r="B9" s="1">
        <v>44805</v>
      </c>
      <c r="C9" s="1">
        <v>44888</v>
      </c>
      <c r="D9" t="s">
        <v>7</v>
      </c>
      <c r="E9">
        <v>39</v>
      </c>
      <c r="F9" t="s">
        <v>6</v>
      </c>
      <c r="G9" s="19">
        <v>83</v>
      </c>
      <c r="H9" t="s">
        <v>64</v>
      </c>
      <c r="I9">
        <v>2022</v>
      </c>
    </row>
    <row r="10" spans="1:10" x14ac:dyDescent="0.3">
      <c r="A10">
        <v>154568379</v>
      </c>
      <c r="B10" s="1">
        <v>44805</v>
      </c>
      <c r="C10" s="1">
        <v>44859</v>
      </c>
      <c r="D10" t="s">
        <v>7</v>
      </c>
      <c r="E10">
        <v>39</v>
      </c>
      <c r="F10" t="s">
        <v>6</v>
      </c>
      <c r="G10" s="19">
        <v>54</v>
      </c>
      <c r="H10" t="s">
        <v>64</v>
      </c>
      <c r="I10">
        <v>2022</v>
      </c>
    </row>
    <row r="11" spans="1:10" x14ac:dyDescent="0.3">
      <c r="A11">
        <v>154428434</v>
      </c>
      <c r="B11" s="1">
        <v>44805</v>
      </c>
      <c r="C11" s="1">
        <v>44865</v>
      </c>
      <c r="D11" t="s">
        <v>7</v>
      </c>
      <c r="E11">
        <v>39</v>
      </c>
      <c r="F11" t="s">
        <v>6</v>
      </c>
      <c r="G11" s="19">
        <v>60</v>
      </c>
      <c r="H11" t="s">
        <v>64</v>
      </c>
      <c r="I11">
        <v>2022</v>
      </c>
    </row>
    <row r="12" spans="1:10" x14ac:dyDescent="0.3">
      <c r="A12">
        <v>154601651</v>
      </c>
      <c r="B12" s="1">
        <v>44805</v>
      </c>
      <c r="C12" s="1">
        <v>44830</v>
      </c>
      <c r="D12" t="s">
        <v>7</v>
      </c>
      <c r="E12">
        <v>39</v>
      </c>
      <c r="F12" t="s">
        <v>6</v>
      </c>
      <c r="G12" s="19">
        <v>25</v>
      </c>
      <c r="H12" t="s">
        <v>64</v>
      </c>
      <c r="I12">
        <v>2022</v>
      </c>
    </row>
    <row r="13" spans="1:10" x14ac:dyDescent="0.3">
      <c r="A13">
        <v>122824692</v>
      </c>
      <c r="B13" s="1">
        <v>44805</v>
      </c>
      <c r="C13" s="1">
        <v>44819</v>
      </c>
      <c r="D13" t="s">
        <v>7</v>
      </c>
      <c r="E13">
        <v>39</v>
      </c>
      <c r="F13" t="s">
        <v>6</v>
      </c>
      <c r="G13" s="19">
        <v>14</v>
      </c>
      <c r="H13" t="s">
        <v>64</v>
      </c>
      <c r="I13">
        <v>2022</v>
      </c>
    </row>
    <row r="14" spans="1:10" x14ac:dyDescent="0.3">
      <c r="A14">
        <v>152925600</v>
      </c>
      <c r="B14" s="1">
        <v>44806</v>
      </c>
      <c r="D14" t="s">
        <v>7</v>
      </c>
      <c r="E14">
        <v>39</v>
      </c>
      <c r="F14" t="s">
        <v>6</v>
      </c>
      <c r="H14" t="s">
        <v>65</v>
      </c>
      <c r="I14">
        <v>2022</v>
      </c>
    </row>
    <row r="15" spans="1:10" x14ac:dyDescent="0.3">
      <c r="A15">
        <v>151154171</v>
      </c>
      <c r="B15" s="1">
        <v>44806</v>
      </c>
      <c r="C15" s="1">
        <v>44806</v>
      </c>
      <c r="D15" t="s">
        <v>7</v>
      </c>
      <c r="E15">
        <v>39</v>
      </c>
      <c r="F15" t="s">
        <v>6</v>
      </c>
      <c r="G15" s="19">
        <v>0</v>
      </c>
      <c r="H15" t="s">
        <v>65</v>
      </c>
      <c r="I15">
        <v>2022</v>
      </c>
    </row>
    <row r="16" spans="1:10" x14ac:dyDescent="0.3">
      <c r="A16">
        <v>154640950</v>
      </c>
      <c r="B16" s="1">
        <v>44806</v>
      </c>
      <c r="C16" s="1">
        <v>44904</v>
      </c>
      <c r="D16" t="s">
        <v>7</v>
      </c>
      <c r="E16">
        <v>39</v>
      </c>
      <c r="F16" t="s">
        <v>6</v>
      </c>
      <c r="G16" s="19">
        <v>98</v>
      </c>
      <c r="H16" t="s">
        <v>65</v>
      </c>
      <c r="I16">
        <v>2022</v>
      </c>
    </row>
    <row r="17" spans="1:9" x14ac:dyDescent="0.3">
      <c r="A17">
        <v>154617329</v>
      </c>
      <c r="B17" s="1">
        <v>44806</v>
      </c>
      <c r="C17" s="1">
        <v>44861</v>
      </c>
      <c r="D17" t="s">
        <v>7</v>
      </c>
      <c r="E17">
        <v>39</v>
      </c>
      <c r="F17" t="s">
        <v>6</v>
      </c>
      <c r="G17" s="19">
        <v>55</v>
      </c>
      <c r="H17" t="s">
        <v>65</v>
      </c>
      <c r="I17">
        <v>2022</v>
      </c>
    </row>
    <row r="18" spans="1:9" x14ac:dyDescent="0.3">
      <c r="A18">
        <v>154089211</v>
      </c>
      <c r="B18" s="1">
        <v>44806</v>
      </c>
      <c r="C18" s="1">
        <v>44843</v>
      </c>
      <c r="D18" t="s">
        <v>7</v>
      </c>
      <c r="E18">
        <v>39</v>
      </c>
      <c r="F18" t="s">
        <v>6</v>
      </c>
      <c r="G18" s="19">
        <v>37</v>
      </c>
      <c r="H18" t="s">
        <v>65</v>
      </c>
      <c r="I18">
        <v>2022</v>
      </c>
    </row>
    <row r="19" spans="1:9" x14ac:dyDescent="0.3">
      <c r="A19">
        <v>154653820</v>
      </c>
      <c r="B19" s="1">
        <v>44806</v>
      </c>
      <c r="C19" s="1">
        <v>44830</v>
      </c>
      <c r="D19" t="s">
        <v>7</v>
      </c>
      <c r="E19">
        <v>39</v>
      </c>
      <c r="F19" t="s">
        <v>6</v>
      </c>
      <c r="G19" s="19">
        <v>24</v>
      </c>
      <c r="H19" t="s">
        <v>65</v>
      </c>
      <c r="I19">
        <v>2022</v>
      </c>
    </row>
    <row r="20" spans="1:9" x14ac:dyDescent="0.3">
      <c r="A20">
        <v>154131290</v>
      </c>
      <c r="B20" s="1">
        <v>44807</v>
      </c>
      <c r="D20" t="s">
        <v>7</v>
      </c>
      <c r="E20">
        <v>39</v>
      </c>
      <c r="F20" t="s">
        <v>6</v>
      </c>
      <c r="H20" t="s">
        <v>66</v>
      </c>
      <c r="I20">
        <v>2022</v>
      </c>
    </row>
    <row r="21" spans="1:9" x14ac:dyDescent="0.3">
      <c r="A21">
        <v>154434009</v>
      </c>
      <c r="B21" s="1">
        <v>44807</v>
      </c>
      <c r="D21" t="s">
        <v>7</v>
      </c>
      <c r="E21">
        <v>39</v>
      </c>
      <c r="F21" t="s">
        <v>6</v>
      </c>
      <c r="H21" t="s">
        <v>66</v>
      </c>
      <c r="I21">
        <v>2022</v>
      </c>
    </row>
    <row r="22" spans="1:9" x14ac:dyDescent="0.3">
      <c r="A22">
        <v>136108848</v>
      </c>
      <c r="B22" s="1">
        <v>44807</v>
      </c>
      <c r="C22" s="1">
        <v>44808</v>
      </c>
      <c r="D22" t="s">
        <v>7</v>
      </c>
      <c r="E22">
        <v>39</v>
      </c>
      <c r="F22" t="s">
        <v>6</v>
      </c>
      <c r="G22" s="19">
        <v>1</v>
      </c>
      <c r="H22" t="s">
        <v>66</v>
      </c>
      <c r="I22">
        <v>2022</v>
      </c>
    </row>
    <row r="23" spans="1:9" x14ac:dyDescent="0.3">
      <c r="A23">
        <v>135185873</v>
      </c>
      <c r="B23" s="1">
        <v>44807</v>
      </c>
      <c r="C23" s="1">
        <v>45056</v>
      </c>
      <c r="D23" t="s">
        <v>7</v>
      </c>
      <c r="E23">
        <v>39</v>
      </c>
      <c r="F23" t="s">
        <v>6</v>
      </c>
      <c r="G23" s="19">
        <v>249</v>
      </c>
      <c r="H23" t="s">
        <v>66</v>
      </c>
      <c r="I23">
        <v>2022</v>
      </c>
    </row>
    <row r="24" spans="1:9" x14ac:dyDescent="0.3">
      <c r="A24">
        <v>154592664</v>
      </c>
      <c r="B24" s="1">
        <v>44807</v>
      </c>
      <c r="C24" s="1">
        <v>45017</v>
      </c>
      <c r="D24" t="s">
        <v>7</v>
      </c>
      <c r="E24">
        <v>39</v>
      </c>
      <c r="F24" t="s">
        <v>6</v>
      </c>
      <c r="G24" s="19">
        <v>210</v>
      </c>
      <c r="H24" t="s">
        <v>66</v>
      </c>
      <c r="I24">
        <v>2022</v>
      </c>
    </row>
    <row r="25" spans="1:9" x14ac:dyDescent="0.3">
      <c r="A25">
        <v>119436804</v>
      </c>
      <c r="B25" s="1">
        <v>44807</v>
      </c>
      <c r="C25" s="1">
        <v>45026</v>
      </c>
      <c r="D25" t="s">
        <v>7</v>
      </c>
      <c r="E25">
        <v>39</v>
      </c>
      <c r="F25" t="s">
        <v>6</v>
      </c>
      <c r="G25" s="19">
        <v>219</v>
      </c>
      <c r="H25" t="s">
        <v>66</v>
      </c>
      <c r="I25">
        <v>2022</v>
      </c>
    </row>
    <row r="26" spans="1:9" x14ac:dyDescent="0.3">
      <c r="A26">
        <v>152929657</v>
      </c>
      <c r="B26" s="1">
        <v>44807</v>
      </c>
      <c r="C26" s="1">
        <v>44888</v>
      </c>
      <c r="D26" t="s">
        <v>7</v>
      </c>
      <c r="E26">
        <v>39</v>
      </c>
      <c r="F26" t="s">
        <v>6</v>
      </c>
      <c r="G26" s="19">
        <v>81</v>
      </c>
      <c r="H26" t="s">
        <v>66</v>
      </c>
      <c r="I26">
        <v>2022</v>
      </c>
    </row>
    <row r="27" spans="1:9" x14ac:dyDescent="0.3">
      <c r="A27">
        <v>154708974</v>
      </c>
      <c r="B27" s="1">
        <v>44807</v>
      </c>
      <c r="C27" s="1">
        <v>44852</v>
      </c>
      <c r="D27" t="s">
        <v>7</v>
      </c>
      <c r="E27">
        <v>39</v>
      </c>
      <c r="F27" t="s">
        <v>6</v>
      </c>
      <c r="G27" s="19">
        <v>45</v>
      </c>
      <c r="H27" t="s">
        <v>66</v>
      </c>
      <c r="I27">
        <v>2022</v>
      </c>
    </row>
    <row r="28" spans="1:9" x14ac:dyDescent="0.3">
      <c r="A28">
        <v>154567722</v>
      </c>
      <c r="B28" s="1">
        <v>44807</v>
      </c>
      <c r="C28" s="1">
        <v>44833</v>
      </c>
      <c r="D28" t="s">
        <v>7</v>
      </c>
      <c r="E28">
        <v>39</v>
      </c>
      <c r="F28" t="s">
        <v>6</v>
      </c>
      <c r="G28" s="19">
        <v>26</v>
      </c>
      <c r="H28" t="s">
        <v>66</v>
      </c>
      <c r="I28">
        <v>2022</v>
      </c>
    </row>
    <row r="29" spans="1:9" x14ac:dyDescent="0.3">
      <c r="A29">
        <v>154719788</v>
      </c>
      <c r="B29" s="1">
        <v>44807</v>
      </c>
      <c r="C29" s="1">
        <v>44829</v>
      </c>
      <c r="D29" t="s">
        <v>7</v>
      </c>
      <c r="E29">
        <v>39</v>
      </c>
      <c r="F29" t="s">
        <v>6</v>
      </c>
      <c r="G29" s="19">
        <v>22</v>
      </c>
      <c r="H29" t="s">
        <v>66</v>
      </c>
      <c r="I29">
        <v>2022</v>
      </c>
    </row>
    <row r="30" spans="1:9" x14ac:dyDescent="0.3">
      <c r="A30">
        <v>154809306</v>
      </c>
      <c r="B30" s="1">
        <v>44808</v>
      </c>
      <c r="C30" s="1">
        <v>44809</v>
      </c>
      <c r="D30" t="s">
        <v>7</v>
      </c>
      <c r="E30">
        <v>39</v>
      </c>
      <c r="F30" t="s">
        <v>6</v>
      </c>
      <c r="G30" s="19">
        <v>1</v>
      </c>
      <c r="H30" t="s">
        <v>60</v>
      </c>
      <c r="I30">
        <v>2022</v>
      </c>
    </row>
    <row r="31" spans="1:9" x14ac:dyDescent="0.3">
      <c r="A31">
        <v>140391539</v>
      </c>
      <c r="B31" s="1">
        <v>44808</v>
      </c>
      <c r="C31" s="1">
        <v>45021</v>
      </c>
      <c r="D31" t="s">
        <v>7</v>
      </c>
      <c r="E31">
        <v>39</v>
      </c>
      <c r="F31" t="s">
        <v>6</v>
      </c>
      <c r="G31" s="19">
        <v>213</v>
      </c>
      <c r="H31" t="s">
        <v>60</v>
      </c>
      <c r="I31">
        <v>2022</v>
      </c>
    </row>
    <row r="32" spans="1:9" x14ac:dyDescent="0.3">
      <c r="A32">
        <v>153194806</v>
      </c>
      <c r="B32" s="1">
        <v>44808</v>
      </c>
      <c r="C32" s="1">
        <v>45032</v>
      </c>
      <c r="D32" t="s">
        <v>7</v>
      </c>
      <c r="E32">
        <v>39</v>
      </c>
      <c r="F32" t="s">
        <v>6</v>
      </c>
      <c r="G32" s="19">
        <v>224</v>
      </c>
      <c r="H32" t="s">
        <v>60</v>
      </c>
      <c r="I32">
        <v>2022</v>
      </c>
    </row>
    <row r="33" spans="1:9" x14ac:dyDescent="0.3">
      <c r="A33">
        <v>144402204</v>
      </c>
      <c r="B33" s="1">
        <v>44808</v>
      </c>
      <c r="C33" s="1">
        <v>44826</v>
      </c>
      <c r="D33" t="s">
        <v>7</v>
      </c>
      <c r="E33">
        <v>39</v>
      </c>
      <c r="F33" t="s">
        <v>6</v>
      </c>
      <c r="G33" s="19">
        <v>18</v>
      </c>
      <c r="H33" t="s">
        <v>60</v>
      </c>
      <c r="I33">
        <v>2022</v>
      </c>
    </row>
    <row r="34" spans="1:9" x14ac:dyDescent="0.3">
      <c r="A34">
        <v>154747678</v>
      </c>
      <c r="B34" s="1">
        <v>44808</v>
      </c>
      <c r="C34" s="1">
        <v>44941</v>
      </c>
      <c r="D34" t="s">
        <v>7</v>
      </c>
      <c r="E34">
        <v>39</v>
      </c>
      <c r="F34" t="s">
        <v>6</v>
      </c>
      <c r="G34" s="19">
        <v>133</v>
      </c>
      <c r="H34" t="s">
        <v>60</v>
      </c>
      <c r="I34">
        <v>2022</v>
      </c>
    </row>
    <row r="35" spans="1:9" x14ac:dyDescent="0.3">
      <c r="A35">
        <v>130939158</v>
      </c>
      <c r="B35" s="1">
        <v>44808</v>
      </c>
      <c r="C35" s="1">
        <v>44976</v>
      </c>
      <c r="D35" t="s">
        <v>7</v>
      </c>
      <c r="E35">
        <v>39</v>
      </c>
      <c r="F35" t="s">
        <v>6</v>
      </c>
      <c r="G35" s="19">
        <v>168</v>
      </c>
      <c r="H35" t="s">
        <v>60</v>
      </c>
      <c r="I35">
        <v>2022</v>
      </c>
    </row>
    <row r="36" spans="1:9" x14ac:dyDescent="0.3">
      <c r="A36">
        <v>150912359</v>
      </c>
      <c r="B36" s="1">
        <v>44808</v>
      </c>
      <c r="C36" s="1">
        <v>44867</v>
      </c>
      <c r="D36" t="s">
        <v>7</v>
      </c>
      <c r="E36">
        <v>39</v>
      </c>
      <c r="F36" t="s">
        <v>6</v>
      </c>
      <c r="G36" s="19">
        <v>59</v>
      </c>
      <c r="H36" t="s">
        <v>60</v>
      </c>
      <c r="I36">
        <v>2022</v>
      </c>
    </row>
    <row r="37" spans="1:9" x14ac:dyDescent="0.3">
      <c r="A37">
        <v>154132592</v>
      </c>
      <c r="B37" s="1">
        <v>44808</v>
      </c>
      <c r="C37" s="1">
        <v>44866</v>
      </c>
      <c r="D37" t="s">
        <v>7</v>
      </c>
      <c r="E37">
        <v>39</v>
      </c>
      <c r="F37" t="s">
        <v>6</v>
      </c>
      <c r="G37" s="19">
        <v>58</v>
      </c>
      <c r="H37" t="s">
        <v>60</v>
      </c>
      <c r="I37">
        <v>2022</v>
      </c>
    </row>
    <row r="38" spans="1:9" x14ac:dyDescent="0.3">
      <c r="A38">
        <v>153368891</v>
      </c>
      <c r="B38" s="1">
        <v>44808</v>
      </c>
      <c r="C38" s="1">
        <v>44845</v>
      </c>
      <c r="D38" t="s">
        <v>7</v>
      </c>
      <c r="E38">
        <v>39</v>
      </c>
      <c r="F38" t="s">
        <v>6</v>
      </c>
      <c r="G38" s="19">
        <v>37</v>
      </c>
      <c r="H38" t="s">
        <v>60</v>
      </c>
      <c r="I38">
        <v>2022</v>
      </c>
    </row>
    <row r="39" spans="1:9" x14ac:dyDescent="0.3">
      <c r="A39">
        <v>154225450</v>
      </c>
      <c r="B39" s="1">
        <v>44809</v>
      </c>
      <c r="D39" t="s">
        <v>7</v>
      </c>
      <c r="E39">
        <v>39</v>
      </c>
      <c r="F39" t="s">
        <v>6</v>
      </c>
      <c r="H39" t="s">
        <v>61</v>
      </c>
      <c r="I39">
        <v>2022</v>
      </c>
    </row>
    <row r="40" spans="1:9" x14ac:dyDescent="0.3">
      <c r="A40">
        <v>154904040</v>
      </c>
      <c r="B40" s="1">
        <v>44809</v>
      </c>
      <c r="C40" s="1">
        <v>44810</v>
      </c>
      <c r="D40" t="s">
        <v>7</v>
      </c>
      <c r="E40">
        <v>39</v>
      </c>
      <c r="F40" t="s">
        <v>6</v>
      </c>
      <c r="G40" s="19">
        <v>1</v>
      </c>
      <c r="H40" t="s">
        <v>61</v>
      </c>
      <c r="I40">
        <v>2022</v>
      </c>
    </row>
    <row r="41" spans="1:9" x14ac:dyDescent="0.3">
      <c r="A41">
        <v>127604200</v>
      </c>
      <c r="B41" s="1">
        <v>44809</v>
      </c>
      <c r="C41" s="1">
        <v>44840</v>
      </c>
      <c r="D41" t="s">
        <v>7</v>
      </c>
      <c r="E41">
        <v>39</v>
      </c>
      <c r="F41" t="s">
        <v>6</v>
      </c>
      <c r="G41" s="19">
        <v>31</v>
      </c>
      <c r="H41" t="s">
        <v>61</v>
      </c>
      <c r="I41">
        <v>2022</v>
      </c>
    </row>
    <row r="42" spans="1:9" x14ac:dyDescent="0.3">
      <c r="A42">
        <v>154913576</v>
      </c>
      <c r="B42" s="1">
        <v>44809</v>
      </c>
      <c r="C42" s="1">
        <v>44998</v>
      </c>
      <c r="D42" t="s">
        <v>7</v>
      </c>
      <c r="E42">
        <v>39</v>
      </c>
      <c r="F42" t="s">
        <v>6</v>
      </c>
      <c r="G42" s="19">
        <v>189</v>
      </c>
      <c r="H42" t="s">
        <v>61</v>
      </c>
      <c r="I42">
        <v>2022</v>
      </c>
    </row>
    <row r="43" spans="1:9" x14ac:dyDescent="0.3">
      <c r="A43">
        <v>154910432</v>
      </c>
      <c r="B43" s="1">
        <v>44809</v>
      </c>
      <c r="C43" s="1">
        <v>44998</v>
      </c>
      <c r="D43" t="s">
        <v>7</v>
      </c>
      <c r="E43">
        <v>39</v>
      </c>
      <c r="F43" t="s">
        <v>6</v>
      </c>
      <c r="G43" s="19">
        <v>189</v>
      </c>
      <c r="H43" t="s">
        <v>61</v>
      </c>
      <c r="I43">
        <v>2022</v>
      </c>
    </row>
    <row r="44" spans="1:9" x14ac:dyDescent="0.3">
      <c r="A44">
        <v>154911229</v>
      </c>
      <c r="B44" s="1">
        <v>44809</v>
      </c>
      <c r="C44" s="1">
        <v>44997</v>
      </c>
      <c r="D44" t="s">
        <v>7</v>
      </c>
      <c r="E44">
        <v>39</v>
      </c>
      <c r="F44" t="s">
        <v>6</v>
      </c>
      <c r="G44" s="19">
        <v>188</v>
      </c>
      <c r="H44" t="s">
        <v>61</v>
      </c>
      <c r="I44">
        <v>2022</v>
      </c>
    </row>
    <row r="45" spans="1:9" x14ac:dyDescent="0.3">
      <c r="A45">
        <v>154518837</v>
      </c>
      <c r="B45" s="1">
        <v>44809</v>
      </c>
      <c r="C45" s="1">
        <v>44929</v>
      </c>
      <c r="D45" t="s">
        <v>7</v>
      </c>
      <c r="E45">
        <v>39</v>
      </c>
      <c r="F45" t="s">
        <v>6</v>
      </c>
      <c r="G45" s="19">
        <v>120</v>
      </c>
      <c r="H45" t="s">
        <v>61</v>
      </c>
      <c r="I45">
        <v>2022</v>
      </c>
    </row>
    <row r="46" spans="1:9" x14ac:dyDescent="0.3">
      <c r="A46">
        <v>154910009</v>
      </c>
      <c r="B46" s="1">
        <v>44809</v>
      </c>
      <c r="C46" s="1">
        <v>44965</v>
      </c>
      <c r="D46" t="s">
        <v>7</v>
      </c>
      <c r="E46">
        <v>39</v>
      </c>
      <c r="F46" t="s">
        <v>6</v>
      </c>
      <c r="G46" s="19">
        <v>156</v>
      </c>
      <c r="H46" t="s">
        <v>61</v>
      </c>
      <c r="I46">
        <v>2022</v>
      </c>
    </row>
    <row r="47" spans="1:9" x14ac:dyDescent="0.3">
      <c r="A47">
        <v>154911693</v>
      </c>
      <c r="B47" s="1">
        <v>44809</v>
      </c>
      <c r="C47" s="1">
        <v>44965</v>
      </c>
      <c r="D47" t="s">
        <v>7</v>
      </c>
      <c r="E47">
        <v>39</v>
      </c>
      <c r="F47" t="s">
        <v>6</v>
      </c>
      <c r="G47" s="19">
        <v>156</v>
      </c>
      <c r="H47" t="s">
        <v>61</v>
      </c>
      <c r="I47">
        <v>2022</v>
      </c>
    </row>
    <row r="48" spans="1:9" x14ac:dyDescent="0.3">
      <c r="A48">
        <v>154894177</v>
      </c>
      <c r="B48" s="1">
        <v>44809</v>
      </c>
      <c r="C48" s="1">
        <v>44907</v>
      </c>
      <c r="D48" t="s">
        <v>7</v>
      </c>
      <c r="E48">
        <v>39</v>
      </c>
      <c r="F48" t="s">
        <v>6</v>
      </c>
      <c r="G48" s="19">
        <v>98</v>
      </c>
      <c r="H48" t="s">
        <v>61</v>
      </c>
      <c r="I48">
        <v>2022</v>
      </c>
    </row>
    <row r="49" spans="1:9" x14ac:dyDescent="0.3">
      <c r="A49">
        <v>154494026</v>
      </c>
      <c r="B49" s="1">
        <v>44809</v>
      </c>
      <c r="C49" s="1">
        <v>44907</v>
      </c>
      <c r="D49" t="s">
        <v>7</v>
      </c>
      <c r="E49">
        <v>39</v>
      </c>
      <c r="F49" t="s">
        <v>6</v>
      </c>
      <c r="G49" s="19">
        <v>98</v>
      </c>
      <c r="H49" t="s">
        <v>61</v>
      </c>
      <c r="I49">
        <v>2022</v>
      </c>
    </row>
    <row r="50" spans="1:9" x14ac:dyDescent="0.3">
      <c r="A50">
        <v>154245189</v>
      </c>
      <c r="B50" s="1">
        <v>44809</v>
      </c>
      <c r="C50" s="1">
        <v>44891</v>
      </c>
      <c r="D50" t="s">
        <v>7</v>
      </c>
      <c r="E50">
        <v>39</v>
      </c>
      <c r="F50" t="s">
        <v>6</v>
      </c>
      <c r="G50" s="19">
        <v>82</v>
      </c>
      <c r="H50" t="s">
        <v>61</v>
      </c>
      <c r="I50">
        <v>2022</v>
      </c>
    </row>
    <row r="51" spans="1:9" x14ac:dyDescent="0.3">
      <c r="A51">
        <v>154604182</v>
      </c>
      <c r="B51" s="1">
        <v>44809</v>
      </c>
      <c r="C51" s="1">
        <v>44853</v>
      </c>
      <c r="D51" t="s">
        <v>7</v>
      </c>
      <c r="E51">
        <v>39</v>
      </c>
      <c r="F51" t="s">
        <v>6</v>
      </c>
      <c r="G51" s="19">
        <v>44</v>
      </c>
      <c r="H51" t="s">
        <v>61</v>
      </c>
      <c r="I51">
        <v>2022</v>
      </c>
    </row>
    <row r="52" spans="1:9" x14ac:dyDescent="0.3">
      <c r="A52">
        <v>154711552</v>
      </c>
      <c r="B52" s="1">
        <v>44809</v>
      </c>
      <c r="C52" s="1">
        <v>44839</v>
      </c>
      <c r="D52" t="s">
        <v>7</v>
      </c>
      <c r="E52">
        <v>39</v>
      </c>
      <c r="F52" t="s">
        <v>6</v>
      </c>
      <c r="G52" s="19">
        <v>30</v>
      </c>
      <c r="H52" t="s">
        <v>61</v>
      </c>
      <c r="I52">
        <v>2022</v>
      </c>
    </row>
    <row r="53" spans="1:9" x14ac:dyDescent="0.3">
      <c r="A53">
        <v>154827564</v>
      </c>
      <c r="B53" s="1">
        <v>44809</v>
      </c>
      <c r="C53" s="1">
        <v>44843</v>
      </c>
      <c r="D53" t="s">
        <v>7</v>
      </c>
      <c r="E53">
        <v>39</v>
      </c>
      <c r="F53" t="s">
        <v>6</v>
      </c>
      <c r="G53" s="19">
        <v>34</v>
      </c>
      <c r="H53" t="s">
        <v>61</v>
      </c>
      <c r="I53">
        <v>2022</v>
      </c>
    </row>
    <row r="54" spans="1:9" x14ac:dyDescent="0.3">
      <c r="A54">
        <v>143581543</v>
      </c>
      <c r="B54" s="1">
        <v>44809</v>
      </c>
      <c r="C54" s="1">
        <v>44846</v>
      </c>
      <c r="D54" t="s">
        <v>7</v>
      </c>
      <c r="E54">
        <v>39</v>
      </c>
      <c r="F54" t="s">
        <v>6</v>
      </c>
      <c r="G54" s="19">
        <v>37</v>
      </c>
      <c r="H54" t="s">
        <v>61</v>
      </c>
      <c r="I54">
        <v>2022</v>
      </c>
    </row>
    <row r="55" spans="1:9" x14ac:dyDescent="0.3">
      <c r="A55">
        <v>154867798</v>
      </c>
      <c r="B55" s="1">
        <v>44809</v>
      </c>
      <c r="C55" s="1">
        <v>44839</v>
      </c>
      <c r="D55" t="s">
        <v>7</v>
      </c>
      <c r="E55">
        <v>39</v>
      </c>
      <c r="F55" t="s">
        <v>6</v>
      </c>
      <c r="G55" s="19">
        <v>30</v>
      </c>
      <c r="H55" t="s">
        <v>61</v>
      </c>
      <c r="I55">
        <v>2022</v>
      </c>
    </row>
    <row r="56" spans="1:9" x14ac:dyDescent="0.3">
      <c r="A56">
        <v>154863996</v>
      </c>
      <c r="B56" s="1">
        <v>44809</v>
      </c>
      <c r="C56" s="1">
        <v>44813</v>
      </c>
      <c r="D56" t="s">
        <v>7</v>
      </c>
      <c r="E56">
        <v>39</v>
      </c>
      <c r="F56" t="s">
        <v>6</v>
      </c>
      <c r="G56" s="19">
        <v>4</v>
      </c>
      <c r="H56" t="s">
        <v>61</v>
      </c>
      <c r="I56">
        <v>2022</v>
      </c>
    </row>
    <row r="57" spans="1:9" x14ac:dyDescent="0.3">
      <c r="A57">
        <v>154923423</v>
      </c>
      <c r="B57" s="1">
        <v>44810</v>
      </c>
      <c r="D57" t="s">
        <v>7</v>
      </c>
      <c r="E57">
        <v>39</v>
      </c>
      <c r="F57" t="s">
        <v>6</v>
      </c>
      <c r="H57" t="s">
        <v>62</v>
      </c>
      <c r="I57">
        <v>2022</v>
      </c>
    </row>
    <row r="58" spans="1:9" x14ac:dyDescent="0.3">
      <c r="A58">
        <v>134664128</v>
      </c>
      <c r="B58" s="1">
        <v>44810</v>
      </c>
      <c r="D58" t="s">
        <v>7</v>
      </c>
      <c r="E58">
        <v>39</v>
      </c>
      <c r="F58" t="s">
        <v>6</v>
      </c>
      <c r="H58" t="s">
        <v>62</v>
      </c>
      <c r="I58">
        <v>2022</v>
      </c>
    </row>
    <row r="59" spans="1:9" x14ac:dyDescent="0.3">
      <c r="A59">
        <v>154828806</v>
      </c>
      <c r="B59" s="1">
        <v>44810</v>
      </c>
      <c r="C59" s="1">
        <v>44885</v>
      </c>
      <c r="D59" t="s">
        <v>7</v>
      </c>
      <c r="E59">
        <v>39</v>
      </c>
      <c r="F59" t="s">
        <v>6</v>
      </c>
      <c r="G59" s="19">
        <v>75</v>
      </c>
      <c r="H59" t="s">
        <v>62</v>
      </c>
      <c r="I59">
        <v>2022</v>
      </c>
    </row>
    <row r="60" spans="1:9" x14ac:dyDescent="0.3">
      <c r="A60">
        <v>154934030</v>
      </c>
      <c r="B60" s="1">
        <v>44810</v>
      </c>
      <c r="C60" s="1">
        <v>44878</v>
      </c>
      <c r="D60" t="s">
        <v>7</v>
      </c>
      <c r="E60">
        <v>39</v>
      </c>
      <c r="F60" t="s">
        <v>6</v>
      </c>
      <c r="G60" s="19">
        <v>68</v>
      </c>
      <c r="H60" t="s">
        <v>62</v>
      </c>
      <c r="I60">
        <v>2022</v>
      </c>
    </row>
    <row r="61" spans="1:9" x14ac:dyDescent="0.3">
      <c r="A61">
        <v>153671424</v>
      </c>
      <c r="B61" s="1">
        <v>44810</v>
      </c>
      <c r="C61" s="1">
        <v>44847</v>
      </c>
      <c r="D61" t="s">
        <v>7</v>
      </c>
      <c r="E61">
        <v>39</v>
      </c>
      <c r="F61" t="s">
        <v>6</v>
      </c>
      <c r="G61" s="19">
        <v>37</v>
      </c>
      <c r="H61" t="s">
        <v>62</v>
      </c>
      <c r="I61">
        <v>2022</v>
      </c>
    </row>
    <row r="62" spans="1:9" x14ac:dyDescent="0.3">
      <c r="A62">
        <v>154693818</v>
      </c>
      <c r="B62" s="1">
        <v>44810</v>
      </c>
      <c r="C62" s="1">
        <v>44847</v>
      </c>
      <c r="D62" t="s">
        <v>7</v>
      </c>
      <c r="E62">
        <v>39</v>
      </c>
      <c r="F62" t="s">
        <v>6</v>
      </c>
      <c r="G62" s="19">
        <v>37</v>
      </c>
      <c r="H62" t="s">
        <v>62</v>
      </c>
      <c r="I62">
        <v>2022</v>
      </c>
    </row>
    <row r="63" spans="1:9" x14ac:dyDescent="0.3">
      <c r="A63">
        <v>154110938</v>
      </c>
      <c r="B63" s="1">
        <v>44810</v>
      </c>
      <c r="C63" s="1">
        <v>44830</v>
      </c>
      <c r="D63" t="s">
        <v>7</v>
      </c>
      <c r="E63">
        <v>39</v>
      </c>
      <c r="F63" t="s">
        <v>6</v>
      </c>
      <c r="G63" s="19">
        <v>20</v>
      </c>
      <c r="H63" t="s">
        <v>62</v>
      </c>
      <c r="I63">
        <v>2022</v>
      </c>
    </row>
    <row r="64" spans="1:9" x14ac:dyDescent="0.3">
      <c r="A64">
        <v>154809306</v>
      </c>
      <c r="B64" s="1">
        <v>44810</v>
      </c>
      <c r="C64" s="1">
        <v>44832</v>
      </c>
      <c r="D64" t="s">
        <v>7</v>
      </c>
      <c r="E64">
        <v>39</v>
      </c>
      <c r="F64" t="s">
        <v>6</v>
      </c>
      <c r="G64" s="19">
        <v>22</v>
      </c>
      <c r="H64" t="s">
        <v>62</v>
      </c>
      <c r="I64">
        <v>2022</v>
      </c>
    </row>
    <row r="65" spans="1:9" x14ac:dyDescent="0.3">
      <c r="A65">
        <v>154537244</v>
      </c>
      <c r="B65" s="1">
        <v>44811</v>
      </c>
      <c r="D65" t="s">
        <v>7</v>
      </c>
      <c r="E65">
        <v>39</v>
      </c>
      <c r="F65" t="s">
        <v>6</v>
      </c>
      <c r="H65" t="s">
        <v>63</v>
      </c>
      <c r="I65">
        <v>2022</v>
      </c>
    </row>
    <row r="66" spans="1:9" x14ac:dyDescent="0.3">
      <c r="A66">
        <v>154163218</v>
      </c>
      <c r="B66" s="1">
        <v>44811</v>
      </c>
      <c r="D66" t="s">
        <v>7</v>
      </c>
      <c r="E66">
        <v>39</v>
      </c>
      <c r="F66" t="s">
        <v>6</v>
      </c>
      <c r="H66" t="s">
        <v>63</v>
      </c>
      <c r="I66">
        <v>2022</v>
      </c>
    </row>
    <row r="67" spans="1:9" x14ac:dyDescent="0.3">
      <c r="A67">
        <v>129467426</v>
      </c>
      <c r="B67" s="1">
        <v>44811</v>
      </c>
      <c r="C67" s="1">
        <v>45071</v>
      </c>
      <c r="D67" t="s">
        <v>7</v>
      </c>
      <c r="E67">
        <v>39</v>
      </c>
      <c r="F67" t="s">
        <v>6</v>
      </c>
      <c r="G67" s="19">
        <v>260</v>
      </c>
      <c r="H67" t="s">
        <v>63</v>
      </c>
      <c r="I67">
        <v>2022</v>
      </c>
    </row>
    <row r="68" spans="1:9" x14ac:dyDescent="0.3">
      <c r="A68">
        <v>152498330</v>
      </c>
      <c r="B68" s="1">
        <v>44811</v>
      </c>
      <c r="C68" s="1">
        <v>44979</v>
      </c>
      <c r="D68" t="s">
        <v>7</v>
      </c>
      <c r="E68">
        <v>39</v>
      </c>
      <c r="F68" t="s">
        <v>6</v>
      </c>
      <c r="G68" s="19">
        <v>168</v>
      </c>
      <c r="H68" t="s">
        <v>63</v>
      </c>
      <c r="I68">
        <v>2022</v>
      </c>
    </row>
    <row r="69" spans="1:9" x14ac:dyDescent="0.3">
      <c r="A69">
        <v>125335731</v>
      </c>
      <c r="B69" s="1">
        <v>44811</v>
      </c>
      <c r="C69" s="1">
        <v>44818</v>
      </c>
      <c r="D69" t="s">
        <v>7</v>
      </c>
      <c r="E69">
        <v>39</v>
      </c>
      <c r="F69" t="s">
        <v>6</v>
      </c>
      <c r="G69" s="19">
        <v>7</v>
      </c>
      <c r="H69" t="s">
        <v>63</v>
      </c>
      <c r="I69">
        <v>2022</v>
      </c>
    </row>
    <row r="70" spans="1:9" x14ac:dyDescent="0.3">
      <c r="A70">
        <v>155113805</v>
      </c>
      <c r="B70" s="1">
        <v>44812</v>
      </c>
      <c r="D70" t="s">
        <v>7</v>
      </c>
      <c r="E70">
        <v>39</v>
      </c>
      <c r="F70" t="s">
        <v>6</v>
      </c>
      <c r="H70" t="s">
        <v>64</v>
      </c>
      <c r="I70">
        <v>2022</v>
      </c>
    </row>
    <row r="71" spans="1:9" x14ac:dyDescent="0.3">
      <c r="A71">
        <v>148864769</v>
      </c>
      <c r="B71" s="1">
        <v>44812</v>
      </c>
      <c r="C71" s="1">
        <v>44862</v>
      </c>
      <c r="D71" t="s">
        <v>7</v>
      </c>
      <c r="E71">
        <v>39</v>
      </c>
      <c r="F71" t="s">
        <v>6</v>
      </c>
      <c r="G71" s="19">
        <v>50</v>
      </c>
      <c r="H71" t="s">
        <v>64</v>
      </c>
      <c r="I71">
        <v>2022</v>
      </c>
    </row>
    <row r="72" spans="1:9" x14ac:dyDescent="0.3">
      <c r="A72">
        <v>123850281</v>
      </c>
      <c r="B72" s="1">
        <v>44812</v>
      </c>
      <c r="C72" s="1">
        <v>44849</v>
      </c>
      <c r="D72" t="s">
        <v>7</v>
      </c>
      <c r="E72">
        <v>39</v>
      </c>
      <c r="F72" t="s">
        <v>6</v>
      </c>
      <c r="G72" s="19">
        <v>37</v>
      </c>
      <c r="H72" t="s">
        <v>64</v>
      </c>
      <c r="I72">
        <v>2022</v>
      </c>
    </row>
    <row r="73" spans="1:9" x14ac:dyDescent="0.3">
      <c r="A73">
        <v>155167073</v>
      </c>
      <c r="B73" s="1">
        <v>44812</v>
      </c>
      <c r="C73" s="1">
        <v>44840</v>
      </c>
      <c r="D73" t="s">
        <v>7</v>
      </c>
      <c r="E73">
        <v>39</v>
      </c>
      <c r="F73" t="s">
        <v>6</v>
      </c>
      <c r="G73" s="19">
        <v>28</v>
      </c>
      <c r="H73" t="s">
        <v>64</v>
      </c>
      <c r="I73">
        <v>2022</v>
      </c>
    </row>
    <row r="74" spans="1:9" x14ac:dyDescent="0.3">
      <c r="A74">
        <v>153684891</v>
      </c>
      <c r="B74" s="1">
        <v>44812</v>
      </c>
      <c r="C74" s="1">
        <v>44813</v>
      </c>
      <c r="D74" t="s">
        <v>7</v>
      </c>
      <c r="E74">
        <v>39</v>
      </c>
      <c r="F74" t="s">
        <v>6</v>
      </c>
      <c r="G74" s="19">
        <v>1</v>
      </c>
      <c r="H74" t="s">
        <v>64</v>
      </c>
      <c r="I74">
        <v>2022</v>
      </c>
    </row>
    <row r="75" spans="1:9" x14ac:dyDescent="0.3">
      <c r="A75">
        <v>131277340</v>
      </c>
      <c r="B75" s="1">
        <v>44813</v>
      </c>
      <c r="C75" s="1">
        <v>44986</v>
      </c>
      <c r="D75" t="s">
        <v>7</v>
      </c>
      <c r="E75">
        <v>39</v>
      </c>
      <c r="F75" t="s">
        <v>6</v>
      </c>
      <c r="G75" s="19">
        <v>173</v>
      </c>
      <c r="H75" t="s">
        <v>65</v>
      </c>
      <c r="I75">
        <v>2022</v>
      </c>
    </row>
    <row r="76" spans="1:9" x14ac:dyDescent="0.3">
      <c r="A76">
        <v>152027172</v>
      </c>
      <c r="B76" s="1">
        <v>44813</v>
      </c>
      <c r="C76" s="1">
        <v>44897</v>
      </c>
      <c r="D76" t="s">
        <v>7</v>
      </c>
      <c r="E76">
        <v>39</v>
      </c>
      <c r="F76" t="s">
        <v>6</v>
      </c>
      <c r="G76" s="19">
        <v>84</v>
      </c>
      <c r="H76" t="s">
        <v>65</v>
      </c>
      <c r="I76">
        <v>2022</v>
      </c>
    </row>
    <row r="77" spans="1:9" x14ac:dyDescent="0.3">
      <c r="A77">
        <v>155212612</v>
      </c>
      <c r="B77" s="1">
        <v>44813</v>
      </c>
      <c r="C77" s="1">
        <v>44868</v>
      </c>
      <c r="D77" t="s">
        <v>7</v>
      </c>
      <c r="E77">
        <v>39</v>
      </c>
      <c r="F77" t="s">
        <v>6</v>
      </c>
      <c r="G77" s="19">
        <v>55</v>
      </c>
      <c r="H77" t="s">
        <v>65</v>
      </c>
      <c r="I77">
        <v>2022</v>
      </c>
    </row>
    <row r="78" spans="1:9" x14ac:dyDescent="0.3">
      <c r="A78">
        <v>155188498</v>
      </c>
      <c r="B78" s="1">
        <v>44813</v>
      </c>
      <c r="C78" s="1">
        <v>44843</v>
      </c>
      <c r="D78" t="s">
        <v>7</v>
      </c>
      <c r="E78">
        <v>39</v>
      </c>
      <c r="F78" t="s">
        <v>6</v>
      </c>
      <c r="G78" s="19">
        <v>30</v>
      </c>
      <c r="H78" t="s">
        <v>65</v>
      </c>
      <c r="I78">
        <v>2022</v>
      </c>
    </row>
    <row r="79" spans="1:9" x14ac:dyDescent="0.3">
      <c r="A79">
        <v>155145336</v>
      </c>
      <c r="B79" s="1">
        <v>44813</v>
      </c>
      <c r="C79" s="1">
        <v>44837</v>
      </c>
      <c r="D79" t="s">
        <v>7</v>
      </c>
      <c r="E79">
        <v>39</v>
      </c>
      <c r="F79" t="s">
        <v>6</v>
      </c>
      <c r="G79" s="19">
        <v>24</v>
      </c>
      <c r="H79" t="s">
        <v>65</v>
      </c>
      <c r="I79">
        <v>2022</v>
      </c>
    </row>
    <row r="80" spans="1:9" x14ac:dyDescent="0.3">
      <c r="A80">
        <v>152506474</v>
      </c>
      <c r="B80" s="1">
        <v>44813</v>
      </c>
      <c r="C80" s="1">
        <v>44850</v>
      </c>
      <c r="D80" t="s">
        <v>7</v>
      </c>
      <c r="E80">
        <v>39</v>
      </c>
      <c r="F80" t="s">
        <v>6</v>
      </c>
      <c r="G80" s="19">
        <v>37</v>
      </c>
      <c r="H80" t="s">
        <v>65</v>
      </c>
      <c r="I80">
        <v>2022</v>
      </c>
    </row>
    <row r="81" spans="1:9" x14ac:dyDescent="0.3">
      <c r="A81">
        <v>118029150</v>
      </c>
      <c r="B81" s="1">
        <v>44813</v>
      </c>
      <c r="C81" s="1">
        <v>45154</v>
      </c>
      <c r="D81" t="s">
        <v>7</v>
      </c>
      <c r="E81">
        <v>39</v>
      </c>
      <c r="F81" t="s">
        <v>6</v>
      </c>
      <c r="G81" s="19">
        <v>341</v>
      </c>
      <c r="H81" t="s">
        <v>65</v>
      </c>
      <c r="I81">
        <v>2022</v>
      </c>
    </row>
    <row r="82" spans="1:9" x14ac:dyDescent="0.3">
      <c r="A82">
        <v>155245796</v>
      </c>
      <c r="B82" s="1">
        <v>44814</v>
      </c>
      <c r="D82" t="s">
        <v>7</v>
      </c>
      <c r="E82">
        <v>39</v>
      </c>
      <c r="F82" t="s">
        <v>6</v>
      </c>
      <c r="H82" t="s">
        <v>66</v>
      </c>
      <c r="I82">
        <v>2022</v>
      </c>
    </row>
    <row r="83" spans="1:9" x14ac:dyDescent="0.3">
      <c r="A83">
        <v>155326259</v>
      </c>
      <c r="B83" s="1">
        <v>44814</v>
      </c>
      <c r="C83" s="1">
        <v>44978</v>
      </c>
      <c r="D83" t="s">
        <v>7</v>
      </c>
      <c r="E83">
        <v>39</v>
      </c>
      <c r="F83" t="s">
        <v>6</v>
      </c>
      <c r="G83" s="19">
        <v>164</v>
      </c>
      <c r="H83" t="s">
        <v>66</v>
      </c>
      <c r="I83">
        <v>2022</v>
      </c>
    </row>
    <row r="84" spans="1:9" x14ac:dyDescent="0.3">
      <c r="A84">
        <v>155311918</v>
      </c>
      <c r="B84" s="1">
        <v>44814</v>
      </c>
      <c r="C84" s="1">
        <v>44907</v>
      </c>
      <c r="D84" t="s">
        <v>7</v>
      </c>
      <c r="E84">
        <v>39</v>
      </c>
      <c r="F84" t="s">
        <v>6</v>
      </c>
      <c r="G84" s="19">
        <v>93</v>
      </c>
      <c r="H84" t="s">
        <v>66</v>
      </c>
      <c r="I84">
        <v>2022</v>
      </c>
    </row>
    <row r="85" spans="1:9" x14ac:dyDescent="0.3">
      <c r="A85">
        <v>154391473</v>
      </c>
      <c r="B85" s="1">
        <v>44814</v>
      </c>
      <c r="C85" s="1">
        <v>44846</v>
      </c>
      <c r="D85" t="s">
        <v>7</v>
      </c>
      <c r="E85">
        <v>39</v>
      </c>
      <c r="F85" t="s">
        <v>6</v>
      </c>
      <c r="G85" s="19">
        <v>32</v>
      </c>
      <c r="H85" t="s">
        <v>66</v>
      </c>
      <c r="I85">
        <v>2022</v>
      </c>
    </row>
    <row r="86" spans="1:9" x14ac:dyDescent="0.3">
      <c r="A86">
        <v>155283495</v>
      </c>
      <c r="B86" s="1">
        <v>44814</v>
      </c>
      <c r="C86" s="1">
        <v>44842</v>
      </c>
      <c r="D86" t="s">
        <v>7</v>
      </c>
      <c r="E86">
        <v>39</v>
      </c>
      <c r="F86" t="s">
        <v>6</v>
      </c>
      <c r="G86" s="19">
        <v>28</v>
      </c>
      <c r="H86" t="s">
        <v>66</v>
      </c>
      <c r="I86">
        <v>2022</v>
      </c>
    </row>
    <row r="87" spans="1:9" x14ac:dyDescent="0.3">
      <c r="A87">
        <v>154597373</v>
      </c>
      <c r="B87" s="1">
        <v>44814</v>
      </c>
      <c r="C87" s="1">
        <v>44840</v>
      </c>
      <c r="D87" t="s">
        <v>7</v>
      </c>
      <c r="E87">
        <v>39</v>
      </c>
      <c r="F87" t="s">
        <v>6</v>
      </c>
      <c r="G87" s="19">
        <v>26</v>
      </c>
      <c r="H87" t="s">
        <v>66</v>
      </c>
      <c r="I87">
        <v>2022</v>
      </c>
    </row>
    <row r="88" spans="1:9" x14ac:dyDescent="0.3">
      <c r="A88">
        <v>155370310</v>
      </c>
      <c r="B88" s="1">
        <v>44815</v>
      </c>
      <c r="C88" s="1">
        <v>45062</v>
      </c>
      <c r="D88" t="s">
        <v>7</v>
      </c>
      <c r="E88">
        <v>39</v>
      </c>
      <c r="F88" t="s">
        <v>6</v>
      </c>
      <c r="G88" s="19">
        <v>247</v>
      </c>
      <c r="H88" t="s">
        <v>60</v>
      </c>
      <c r="I88">
        <v>2022</v>
      </c>
    </row>
    <row r="89" spans="1:9" x14ac:dyDescent="0.3">
      <c r="A89">
        <v>155289120</v>
      </c>
      <c r="B89" s="1">
        <v>44815</v>
      </c>
      <c r="C89" s="1">
        <v>44972</v>
      </c>
      <c r="D89" t="s">
        <v>7</v>
      </c>
      <c r="E89">
        <v>39</v>
      </c>
      <c r="F89" t="s">
        <v>6</v>
      </c>
      <c r="G89" s="19">
        <v>157</v>
      </c>
      <c r="H89" t="s">
        <v>60</v>
      </c>
      <c r="I89">
        <v>2022</v>
      </c>
    </row>
    <row r="90" spans="1:9" x14ac:dyDescent="0.3">
      <c r="A90">
        <v>155351408</v>
      </c>
      <c r="B90" s="1">
        <v>44815</v>
      </c>
      <c r="C90" s="1">
        <v>44906</v>
      </c>
      <c r="D90" t="s">
        <v>7</v>
      </c>
      <c r="E90">
        <v>39</v>
      </c>
      <c r="F90" t="s">
        <v>6</v>
      </c>
      <c r="G90" s="19">
        <v>91</v>
      </c>
      <c r="H90" t="s">
        <v>60</v>
      </c>
      <c r="I90">
        <v>2022</v>
      </c>
    </row>
    <row r="91" spans="1:9" x14ac:dyDescent="0.3">
      <c r="A91">
        <v>155336773</v>
      </c>
      <c r="B91" s="1">
        <v>44815</v>
      </c>
      <c r="C91" s="1">
        <v>44919</v>
      </c>
      <c r="D91" t="s">
        <v>7</v>
      </c>
      <c r="E91">
        <v>39</v>
      </c>
      <c r="F91" t="s">
        <v>6</v>
      </c>
      <c r="G91" s="19">
        <v>104</v>
      </c>
      <c r="H91" t="s">
        <v>60</v>
      </c>
      <c r="I91">
        <v>2022</v>
      </c>
    </row>
    <row r="92" spans="1:9" x14ac:dyDescent="0.3">
      <c r="A92">
        <v>155017581</v>
      </c>
      <c r="B92" s="1">
        <v>44815</v>
      </c>
      <c r="C92" s="1">
        <v>44867</v>
      </c>
      <c r="D92" t="s">
        <v>7</v>
      </c>
      <c r="E92">
        <v>39</v>
      </c>
      <c r="F92" t="s">
        <v>6</v>
      </c>
      <c r="G92" s="19">
        <v>52</v>
      </c>
      <c r="H92" t="s">
        <v>60</v>
      </c>
      <c r="I92">
        <v>2022</v>
      </c>
    </row>
    <row r="93" spans="1:9" x14ac:dyDescent="0.3">
      <c r="A93">
        <v>154401329</v>
      </c>
      <c r="B93" s="1">
        <v>44815</v>
      </c>
      <c r="C93" s="1">
        <v>44849</v>
      </c>
      <c r="D93" t="s">
        <v>7</v>
      </c>
      <c r="E93">
        <v>39</v>
      </c>
      <c r="F93" t="s">
        <v>6</v>
      </c>
      <c r="G93" s="19">
        <v>34</v>
      </c>
      <c r="H93" t="s">
        <v>60</v>
      </c>
      <c r="I93">
        <v>2022</v>
      </c>
    </row>
    <row r="94" spans="1:9" x14ac:dyDescent="0.3">
      <c r="A94">
        <v>155334828</v>
      </c>
      <c r="B94" s="1">
        <v>44815</v>
      </c>
      <c r="C94" s="1">
        <v>44845</v>
      </c>
      <c r="D94" t="s">
        <v>7</v>
      </c>
      <c r="E94">
        <v>39</v>
      </c>
      <c r="F94" t="s">
        <v>6</v>
      </c>
      <c r="G94" s="19">
        <v>30</v>
      </c>
      <c r="H94" t="s">
        <v>60</v>
      </c>
      <c r="I94">
        <v>2022</v>
      </c>
    </row>
    <row r="95" spans="1:9" x14ac:dyDescent="0.3">
      <c r="A95">
        <v>154815431</v>
      </c>
      <c r="B95" s="1">
        <v>44815</v>
      </c>
      <c r="C95" s="1">
        <v>44815</v>
      </c>
      <c r="D95" t="s">
        <v>7</v>
      </c>
      <c r="E95">
        <v>39</v>
      </c>
      <c r="F95" t="s">
        <v>6</v>
      </c>
      <c r="G95" s="19">
        <v>0</v>
      </c>
      <c r="H95" t="s">
        <v>60</v>
      </c>
      <c r="I95">
        <v>2022</v>
      </c>
    </row>
    <row r="96" spans="1:9" x14ac:dyDescent="0.3">
      <c r="A96">
        <v>155343938</v>
      </c>
      <c r="B96" s="1">
        <v>44815</v>
      </c>
      <c r="C96" s="1">
        <v>45156</v>
      </c>
      <c r="D96" t="s">
        <v>7</v>
      </c>
      <c r="E96">
        <v>39</v>
      </c>
      <c r="F96" t="s">
        <v>6</v>
      </c>
      <c r="G96" s="19">
        <v>341</v>
      </c>
      <c r="H96" t="s">
        <v>60</v>
      </c>
      <c r="I96">
        <v>2022</v>
      </c>
    </row>
    <row r="97" spans="1:9" x14ac:dyDescent="0.3">
      <c r="A97">
        <v>152436458</v>
      </c>
      <c r="B97" s="1">
        <v>44816</v>
      </c>
      <c r="C97" s="1">
        <v>44816</v>
      </c>
      <c r="D97" t="s">
        <v>7</v>
      </c>
      <c r="E97">
        <v>39</v>
      </c>
      <c r="F97" t="s">
        <v>6</v>
      </c>
      <c r="G97" s="19">
        <v>0</v>
      </c>
      <c r="H97" t="s">
        <v>61</v>
      </c>
      <c r="I97">
        <v>2022</v>
      </c>
    </row>
    <row r="98" spans="1:9" x14ac:dyDescent="0.3">
      <c r="A98">
        <v>154689541</v>
      </c>
      <c r="B98" s="1">
        <v>44816</v>
      </c>
      <c r="C98" s="1">
        <v>44817</v>
      </c>
      <c r="D98" t="s">
        <v>8</v>
      </c>
      <c r="E98">
        <v>39</v>
      </c>
      <c r="F98" t="s">
        <v>6</v>
      </c>
      <c r="G98" s="19">
        <v>1</v>
      </c>
      <c r="H98" t="s">
        <v>61</v>
      </c>
      <c r="I98">
        <v>2022</v>
      </c>
    </row>
    <row r="99" spans="1:9" x14ac:dyDescent="0.3">
      <c r="A99">
        <v>155425695</v>
      </c>
      <c r="B99" s="1">
        <v>44816</v>
      </c>
      <c r="C99" s="1">
        <v>44853</v>
      </c>
      <c r="D99" t="s">
        <v>7</v>
      </c>
      <c r="E99">
        <v>39</v>
      </c>
      <c r="F99" t="s">
        <v>6</v>
      </c>
      <c r="G99" s="19">
        <v>37</v>
      </c>
      <c r="H99" t="s">
        <v>61</v>
      </c>
      <c r="I99">
        <v>2022</v>
      </c>
    </row>
    <row r="100" spans="1:9" x14ac:dyDescent="0.3">
      <c r="A100">
        <v>152698255</v>
      </c>
      <c r="B100" s="1">
        <v>44816</v>
      </c>
      <c r="C100" s="1">
        <v>44846</v>
      </c>
      <c r="D100" t="s">
        <v>7</v>
      </c>
      <c r="E100">
        <v>39</v>
      </c>
      <c r="F100" t="s">
        <v>6</v>
      </c>
      <c r="G100" s="19">
        <v>30</v>
      </c>
      <c r="H100" t="s">
        <v>61</v>
      </c>
      <c r="I100">
        <v>2022</v>
      </c>
    </row>
    <row r="101" spans="1:9" x14ac:dyDescent="0.3">
      <c r="A101">
        <v>155406449</v>
      </c>
      <c r="B101" s="1">
        <v>44817</v>
      </c>
      <c r="C101" s="1">
        <v>45165</v>
      </c>
      <c r="D101" t="s">
        <v>7</v>
      </c>
      <c r="E101">
        <v>39</v>
      </c>
      <c r="F101" t="s">
        <v>6</v>
      </c>
      <c r="G101" s="19">
        <v>348</v>
      </c>
      <c r="H101" t="s">
        <v>62</v>
      </c>
      <c r="I101">
        <v>2022</v>
      </c>
    </row>
    <row r="102" spans="1:9" x14ac:dyDescent="0.3">
      <c r="A102">
        <v>137338480</v>
      </c>
      <c r="B102" s="1">
        <v>44817</v>
      </c>
      <c r="C102" s="1">
        <v>44818</v>
      </c>
      <c r="D102" t="s">
        <v>7</v>
      </c>
      <c r="E102">
        <v>39</v>
      </c>
      <c r="F102" t="s">
        <v>6</v>
      </c>
      <c r="G102" s="19">
        <v>1</v>
      </c>
      <c r="H102" t="s">
        <v>62</v>
      </c>
      <c r="I102">
        <v>2022</v>
      </c>
    </row>
    <row r="103" spans="1:9" x14ac:dyDescent="0.3">
      <c r="A103">
        <v>155508519</v>
      </c>
      <c r="B103" s="1">
        <v>44817</v>
      </c>
      <c r="C103" s="1">
        <v>44857</v>
      </c>
      <c r="D103" t="s">
        <v>7</v>
      </c>
      <c r="E103">
        <v>39</v>
      </c>
      <c r="F103" t="s">
        <v>6</v>
      </c>
      <c r="G103" s="19">
        <v>40</v>
      </c>
      <c r="H103" t="s">
        <v>62</v>
      </c>
      <c r="I103">
        <v>2022</v>
      </c>
    </row>
    <row r="104" spans="1:9" x14ac:dyDescent="0.3">
      <c r="A104">
        <v>155463846</v>
      </c>
      <c r="B104" s="1">
        <v>44817</v>
      </c>
      <c r="C104" s="1">
        <v>44837</v>
      </c>
      <c r="D104" t="s">
        <v>7</v>
      </c>
      <c r="E104">
        <v>39</v>
      </c>
      <c r="F104" t="s">
        <v>6</v>
      </c>
      <c r="G104" s="19">
        <v>20</v>
      </c>
      <c r="H104" t="s">
        <v>62</v>
      </c>
      <c r="I104">
        <v>2022</v>
      </c>
    </row>
    <row r="105" spans="1:9" x14ac:dyDescent="0.3">
      <c r="A105">
        <v>122335220</v>
      </c>
      <c r="B105" s="1">
        <v>44817</v>
      </c>
      <c r="C105" s="1">
        <v>44821</v>
      </c>
      <c r="D105" t="s">
        <v>7</v>
      </c>
      <c r="E105">
        <v>39</v>
      </c>
      <c r="F105" t="s">
        <v>6</v>
      </c>
      <c r="G105" s="19">
        <v>4</v>
      </c>
      <c r="H105" t="s">
        <v>62</v>
      </c>
      <c r="I105">
        <v>2022</v>
      </c>
    </row>
    <row r="106" spans="1:9" x14ac:dyDescent="0.3">
      <c r="A106">
        <v>155460904</v>
      </c>
      <c r="B106" s="1">
        <v>44817</v>
      </c>
      <c r="C106" s="1">
        <v>45091</v>
      </c>
      <c r="D106" t="s">
        <v>7</v>
      </c>
      <c r="E106">
        <v>39</v>
      </c>
      <c r="F106" t="s">
        <v>6</v>
      </c>
      <c r="G106" s="19">
        <v>274</v>
      </c>
      <c r="H106" t="s">
        <v>62</v>
      </c>
      <c r="I106">
        <v>2022</v>
      </c>
    </row>
    <row r="107" spans="1:9" x14ac:dyDescent="0.3">
      <c r="A107">
        <v>155534484</v>
      </c>
      <c r="B107" s="1">
        <v>44818</v>
      </c>
      <c r="C107" s="1">
        <v>44819</v>
      </c>
      <c r="D107" t="s">
        <v>8</v>
      </c>
      <c r="E107">
        <v>39</v>
      </c>
      <c r="F107" t="s">
        <v>6</v>
      </c>
      <c r="G107" s="19">
        <v>1</v>
      </c>
      <c r="H107" t="s">
        <v>63</v>
      </c>
      <c r="I107">
        <v>2022</v>
      </c>
    </row>
    <row r="108" spans="1:9" x14ac:dyDescent="0.3">
      <c r="A108">
        <v>155465332</v>
      </c>
      <c r="B108" s="1">
        <v>44818</v>
      </c>
      <c r="C108" s="1">
        <v>44991</v>
      </c>
      <c r="D108" t="s">
        <v>7</v>
      </c>
      <c r="E108">
        <v>39</v>
      </c>
      <c r="F108" t="s">
        <v>6</v>
      </c>
      <c r="G108" s="19">
        <v>173</v>
      </c>
      <c r="H108" t="s">
        <v>63</v>
      </c>
      <c r="I108">
        <v>2022</v>
      </c>
    </row>
    <row r="109" spans="1:9" x14ac:dyDescent="0.3">
      <c r="A109">
        <v>155562517</v>
      </c>
      <c r="B109" s="1">
        <v>44818</v>
      </c>
      <c r="C109" s="1">
        <v>44902</v>
      </c>
      <c r="D109" t="s">
        <v>7</v>
      </c>
      <c r="E109">
        <v>39</v>
      </c>
      <c r="F109" t="s">
        <v>6</v>
      </c>
      <c r="G109" s="19">
        <v>84</v>
      </c>
      <c r="H109" t="s">
        <v>63</v>
      </c>
      <c r="I109">
        <v>2022</v>
      </c>
    </row>
    <row r="110" spans="1:9" x14ac:dyDescent="0.3">
      <c r="A110">
        <v>153577096</v>
      </c>
      <c r="B110" s="1">
        <v>44818</v>
      </c>
      <c r="C110" s="1">
        <v>44855</v>
      </c>
      <c r="D110" t="s">
        <v>7</v>
      </c>
      <c r="E110">
        <v>39</v>
      </c>
      <c r="F110" t="s">
        <v>6</v>
      </c>
      <c r="G110" s="19">
        <v>37</v>
      </c>
      <c r="H110" t="s">
        <v>63</v>
      </c>
      <c r="I110">
        <v>2022</v>
      </c>
    </row>
    <row r="111" spans="1:9" x14ac:dyDescent="0.3">
      <c r="A111">
        <v>154937101</v>
      </c>
      <c r="B111" s="1">
        <v>44819</v>
      </c>
      <c r="D111" t="s">
        <v>7</v>
      </c>
      <c r="E111">
        <v>39</v>
      </c>
      <c r="F111" t="s">
        <v>6</v>
      </c>
      <c r="H111" t="s">
        <v>64</v>
      </c>
      <c r="I111">
        <v>2022</v>
      </c>
    </row>
    <row r="112" spans="1:9" x14ac:dyDescent="0.3">
      <c r="A112">
        <v>144968444</v>
      </c>
      <c r="B112" s="1">
        <v>44819</v>
      </c>
      <c r="C112" s="1">
        <v>44819</v>
      </c>
      <c r="D112" t="s">
        <v>8</v>
      </c>
      <c r="E112">
        <v>39</v>
      </c>
      <c r="F112" t="s">
        <v>6</v>
      </c>
      <c r="G112" s="19">
        <v>0</v>
      </c>
      <c r="H112" t="s">
        <v>64</v>
      </c>
      <c r="I112">
        <v>2022</v>
      </c>
    </row>
    <row r="113" spans="1:9" x14ac:dyDescent="0.3">
      <c r="A113">
        <v>155270889</v>
      </c>
      <c r="B113" s="1">
        <v>44819</v>
      </c>
      <c r="C113" s="1">
        <v>44991</v>
      </c>
      <c r="D113" t="s">
        <v>7</v>
      </c>
      <c r="E113">
        <v>39</v>
      </c>
      <c r="F113" t="s">
        <v>6</v>
      </c>
      <c r="G113" s="19">
        <v>172</v>
      </c>
      <c r="H113" t="s">
        <v>64</v>
      </c>
      <c r="I113">
        <v>2022</v>
      </c>
    </row>
    <row r="114" spans="1:9" x14ac:dyDescent="0.3">
      <c r="A114">
        <v>155601465</v>
      </c>
      <c r="B114" s="1">
        <v>44819</v>
      </c>
      <c r="C114" s="1">
        <v>45078</v>
      </c>
      <c r="D114" t="s">
        <v>7</v>
      </c>
      <c r="E114">
        <v>39</v>
      </c>
      <c r="F114" t="s">
        <v>6</v>
      </c>
      <c r="G114" s="19">
        <v>259</v>
      </c>
      <c r="H114" t="s">
        <v>64</v>
      </c>
      <c r="I114">
        <v>2022</v>
      </c>
    </row>
    <row r="115" spans="1:9" x14ac:dyDescent="0.3">
      <c r="A115">
        <v>154045370</v>
      </c>
      <c r="B115" s="1">
        <v>44819</v>
      </c>
      <c r="C115" s="1">
        <v>44893</v>
      </c>
      <c r="D115" t="s">
        <v>7</v>
      </c>
      <c r="E115">
        <v>39</v>
      </c>
      <c r="F115" t="s">
        <v>6</v>
      </c>
      <c r="G115" s="19">
        <v>74</v>
      </c>
      <c r="H115" t="s">
        <v>64</v>
      </c>
      <c r="I115">
        <v>2022</v>
      </c>
    </row>
    <row r="116" spans="1:9" x14ac:dyDescent="0.3">
      <c r="A116">
        <v>155612742</v>
      </c>
      <c r="B116" s="1">
        <v>44819</v>
      </c>
      <c r="C116" s="1">
        <v>44873</v>
      </c>
      <c r="D116" t="s">
        <v>7</v>
      </c>
      <c r="E116">
        <v>39</v>
      </c>
      <c r="F116" t="s">
        <v>6</v>
      </c>
      <c r="G116" s="19">
        <v>54</v>
      </c>
      <c r="H116" t="s">
        <v>64</v>
      </c>
      <c r="I116">
        <v>2022</v>
      </c>
    </row>
    <row r="117" spans="1:9" x14ac:dyDescent="0.3">
      <c r="A117">
        <v>155621162</v>
      </c>
      <c r="B117" s="1">
        <v>44819</v>
      </c>
      <c r="C117" s="1">
        <v>44879</v>
      </c>
      <c r="D117" t="s">
        <v>7</v>
      </c>
      <c r="E117">
        <v>39</v>
      </c>
      <c r="F117" t="s">
        <v>6</v>
      </c>
      <c r="G117" s="19">
        <v>60</v>
      </c>
      <c r="H117" t="s">
        <v>64</v>
      </c>
      <c r="I117">
        <v>2022</v>
      </c>
    </row>
    <row r="118" spans="1:9" x14ac:dyDescent="0.3">
      <c r="A118">
        <v>154904040</v>
      </c>
      <c r="B118" s="1">
        <v>44819</v>
      </c>
      <c r="C118" s="1">
        <v>44856</v>
      </c>
      <c r="D118" t="s">
        <v>7</v>
      </c>
      <c r="E118">
        <v>39</v>
      </c>
      <c r="F118" t="s">
        <v>6</v>
      </c>
      <c r="G118" s="19">
        <v>37</v>
      </c>
      <c r="H118" t="s">
        <v>64</v>
      </c>
      <c r="I118">
        <v>2022</v>
      </c>
    </row>
    <row r="119" spans="1:9" x14ac:dyDescent="0.3">
      <c r="A119">
        <v>150810434</v>
      </c>
      <c r="B119" s="1">
        <v>44819</v>
      </c>
      <c r="C119" s="1">
        <v>44846</v>
      </c>
      <c r="D119" t="s">
        <v>7</v>
      </c>
      <c r="E119">
        <v>39</v>
      </c>
      <c r="F119" t="s">
        <v>6</v>
      </c>
      <c r="G119" s="19">
        <v>27</v>
      </c>
      <c r="H119" t="s">
        <v>64</v>
      </c>
      <c r="I119">
        <v>2022</v>
      </c>
    </row>
    <row r="120" spans="1:9" x14ac:dyDescent="0.3">
      <c r="A120">
        <v>150825802</v>
      </c>
      <c r="B120" s="1">
        <v>44819</v>
      </c>
      <c r="C120" s="1">
        <v>44847</v>
      </c>
      <c r="D120" t="s">
        <v>7</v>
      </c>
      <c r="E120">
        <v>39</v>
      </c>
      <c r="F120" t="s">
        <v>6</v>
      </c>
      <c r="G120" s="19">
        <v>28</v>
      </c>
      <c r="H120" t="s">
        <v>64</v>
      </c>
      <c r="I120">
        <v>2022</v>
      </c>
    </row>
    <row r="121" spans="1:9" x14ac:dyDescent="0.3">
      <c r="A121">
        <v>151907203</v>
      </c>
      <c r="B121" s="1">
        <v>44819</v>
      </c>
      <c r="C121" s="1">
        <v>44845</v>
      </c>
      <c r="D121" t="s">
        <v>7</v>
      </c>
      <c r="E121">
        <v>39</v>
      </c>
      <c r="F121" t="s">
        <v>6</v>
      </c>
      <c r="G121" s="19">
        <v>26</v>
      </c>
      <c r="H121" t="s">
        <v>64</v>
      </c>
      <c r="I121">
        <v>2022</v>
      </c>
    </row>
    <row r="122" spans="1:9" x14ac:dyDescent="0.3">
      <c r="A122">
        <v>149595273</v>
      </c>
      <c r="B122" s="1">
        <v>44819</v>
      </c>
      <c r="C122" s="1">
        <v>44833</v>
      </c>
      <c r="D122" t="s">
        <v>7</v>
      </c>
      <c r="E122">
        <v>39</v>
      </c>
      <c r="F122" t="s">
        <v>6</v>
      </c>
      <c r="G122" s="19">
        <v>14</v>
      </c>
      <c r="H122" t="s">
        <v>64</v>
      </c>
      <c r="I122">
        <v>2022</v>
      </c>
    </row>
    <row r="123" spans="1:9" x14ac:dyDescent="0.3">
      <c r="A123">
        <v>155596960</v>
      </c>
      <c r="B123" s="1">
        <v>44819</v>
      </c>
      <c r="C123" s="1">
        <v>44827</v>
      </c>
      <c r="D123" t="s">
        <v>7</v>
      </c>
      <c r="E123">
        <v>39</v>
      </c>
      <c r="F123" t="s">
        <v>6</v>
      </c>
      <c r="G123" s="19">
        <v>8</v>
      </c>
      <c r="H123" t="s">
        <v>64</v>
      </c>
      <c r="I123">
        <v>2022</v>
      </c>
    </row>
    <row r="124" spans="1:9" x14ac:dyDescent="0.3">
      <c r="A124">
        <v>155192606</v>
      </c>
      <c r="B124" s="1">
        <v>44820</v>
      </c>
      <c r="D124" t="s">
        <v>7</v>
      </c>
      <c r="E124">
        <v>39</v>
      </c>
      <c r="F124" t="s">
        <v>6</v>
      </c>
      <c r="H124" t="s">
        <v>65</v>
      </c>
      <c r="I124">
        <v>2022</v>
      </c>
    </row>
    <row r="125" spans="1:9" x14ac:dyDescent="0.3">
      <c r="A125">
        <v>129111644</v>
      </c>
      <c r="B125" s="1">
        <v>44820</v>
      </c>
      <c r="C125" s="1">
        <v>45008</v>
      </c>
      <c r="D125" t="s">
        <v>7</v>
      </c>
      <c r="E125">
        <v>39</v>
      </c>
      <c r="F125" t="s">
        <v>6</v>
      </c>
      <c r="G125" s="19">
        <v>188</v>
      </c>
      <c r="H125" t="s">
        <v>65</v>
      </c>
      <c r="I125">
        <v>2022</v>
      </c>
    </row>
    <row r="126" spans="1:9" x14ac:dyDescent="0.3">
      <c r="A126">
        <v>155426674</v>
      </c>
      <c r="B126" s="1">
        <v>44820</v>
      </c>
      <c r="C126" s="1">
        <v>45026</v>
      </c>
      <c r="D126" t="s">
        <v>7</v>
      </c>
      <c r="E126">
        <v>39</v>
      </c>
      <c r="F126" t="s">
        <v>6</v>
      </c>
      <c r="G126" s="19">
        <v>206</v>
      </c>
      <c r="H126" t="s">
        <v>65</v>
      </c>
      <c r="I126">
        <v>2022</v>
      </c>
    </row>
    <row r="127" spans="1:9" x14ac:dyDescent="0.3">
      <c r="A127">
        <v>154389303</v>
      </c>
      <c r="B127" s="1">
        <v>44820</v>
      </c>
      <c r="C127" s="1">
        <v>44931</v>
      </c>
      <c r="D127" t="s">
        <v>7</v>
      </c>
      <c r="E127">
        <v>39</v>
      </c>
      <c r="F127" t="s">
        <v>6</v>
      </c>
      <c r="G127" s="19">
        <v>111</v>
      </c>
      <c r="H127" t="s">
        <v>65</v>
      </c>
      <c r="I127">
        <v>2022</v>
      </c>
    </row>
    <row r="128" spans="1:9" x14ac:dyDescent="0.3">
      <c r="A128">
        <v>155671632</v>
      </c>
      <c r="B128" s="1">
        <v>44820</v>
      </c>
      <c r="C128" s="1">
        <v>44917</v>
      </c>
      <c r="D128" t="s">
        <v>7</v>
      </c>
      <c r="E128">
        <v>39</v>
      </c>
      <c r="F128" t="s">
        <v>6</v>
      </c>
      <c r="G128" s="19">
        <v>97</v>
      </c>
      <c r="H128" t="s">
        <v>65</v>
      </c>
      <c r="I128">
        <v>2022</v>
      </c>
    </row>
    <row r="129" spans="1:9" x14ac:dyDescent="0.3">
      <c r="A129">
        <v>155663101</v>
      </c>
      <c r="B129" s="1">
        <v>44820</v>
      </c>
      <c r="C129" s="1">
        <v>44838</v>
      </c>
      <c r="D129" t="s">
        <v>7</v>
      </c>
      <c r="E129">
        <v>39</v>
      </c>
      <c r="F129" t="s">
        <v>6</v>
      </c>
      <c r="G129" s="19">
        <v>18</v>
      </c>
      <c r="H129" t="s">
        <v>65</v>
      </c>
      <c r="I129">
        <v>2022</v>
      </c>
    </row>
    <row r="130" spans="1:9" x14ac:dyDescent="0.3">
      <c r="A130">
        <v>152084572</v>
      </c>
      <c r="B130" s="1">
        <v>44821</v>
      </c>
      <c r="D130" t="s">
        <v>7</v>
      </c>
      <c r="E130">
        <v>39</v>
      </c>
      <c r="F130" t="s">
        <v>6</v>
      </c>
      <c r="H130" t="s">
        <v>66</v>
      </c>
      <c r="I130">
        <v>2022</v>
      </c>
    </row>
    <row r="131" spans="1:9" x14ac:dyDescent="0.3">
      <c r="A131">
        <v>155783230</v>
      </c>
      <c r="B131" s="1">
        <v>44821</v>
      </c>
      <c r="C131" s="1">
        <v>45058</v>
      </c>
      <c r="D131" t="s">
        <v>7</v>
      </c>
      <c r="E131">
        <v>39</v>
      </c>
      <c r="F131" t="s">
        <v>6</v>
      </c>
      <c r="G131" s="19">
        <v>237</v>
      </c>
      <c r="H131" t="s">
        <v>66</v>
      </c>
      <c r="I131">
        <v>2022</v>
      </c>
    </row>
    <row r="132" spans="1:9" x14ac:dyDescent="0.3">
      <c r="A132">
        <v>155714315</v>
      </c>
      <c r="B132" s="1">
        <v>44821</v>
      </c>
      <c r="C132" s="1">
        <v>44940</v>
      </c>
      <c r="D132" t="s">
        <v>7</v>
      </c>
      <c r="E132">
        <v>39</v>
      </c>
      <c r="F132" t="s">
        <v>6</v>
      </c>
      <c r="G132" s="19">
        <v>119</v>
      </c>
      <c r="H132" t="s">
        <v>66</v>
      </c>
      <c r="I132">
        <v>2022</v>
      </c>
    </row>
    <row r="133" spans="1:9" x14ac:dyDescent="0.3">
      <c r="A133">
        <v>155774393</v>
      </c>
      <c r="B133" s="1">
        <v>44821</v>
      </c>
      <c r="C133" s="1">
        <v>44852</v>
      </c>
      <c r="D133" t="s">
        <v>7</v>
      </c>
      <c r="E133">
        <v>39</v>
      </c>
      <c r="F133" t="s">
        <v>6</v>
      </c>
      <c r="G133" s="19">
        <v>31</v>
      </c>
      <c r="H133" t="s">
        <v>66</v>
      </c>
      <c r="I133">
        <v>2022</v>
      </c>
    </row>
    <row r="134" spans="1:9" x14ac:dyDescent="0.3">
      <c r="A134">
        <v>152901090</v>
      </c>
      <c r="B134" s="1">
        <v>44822</v>
      </c>
      <c r="C134" s="1">
        <v>44951</v>
      </c>
      <c r="D134" t="s">
        <v>7</v>
      </c>
      <c r="E134">
        <v>39</v>
      </c>
      <c r="F134" t="s">
        <v>6</v>
      </c>
      <c r="G134" s="19">
        <v>129</v>
      </c>
      <c r="H134" t="s">
        <v>60</v>
      </c>
      <c r="I134">
        <v>2022</v>
      </c>
    </row>
    <row r="135" spans="1:9" x14ac:dyDescent="0.3">
      <c r="A135">
        <v>147029752</v>
      </c>
      <c r="B135" s="1">
        <v>44822</v>
      </c>
      <c r="C135" s="1">
        <v>44886</v>
      </c>
      <c r="D135" t="s">
        <v>7</v>
      </c>
      <c r="E135">
        <v>39</v>
      </c>
      <c r="F135" t="s">
        <v>6</v>
      </c>
      <c r="G135" s="19">
        <v>64</v>
      </c>
      <c r="H135" t="s">
        <v>60</v>
      </c>
      <c r="I135">
        <v>2022</v>
      </c>
    </row>
    <row r="136" spans="1:9" x14ac:dyDescent="0.3">
      <c r="A136">
        <v>155809043</v>
      </c>
      <c r="B136" s="1">
        <v>44822</v>
      </c>
      <c r="C136" s="1">
        <v>44903</v>
      </c>
      <c r="D136" t="s">
        <v>7</v>
      </c>
      <c r="E136">
        <v>39</v>
      </c>
      <c r="F136" t="s">
        <v>6</v>
      </c>
      <c r="G136" s="19">
        <v>81</v>
      </c>
      <c r="H136" t="s">
        <v>60</v>
      </c>
      <c r="I136">
        <v>2022</v>
      </c>
    </row>
    <row r="137" spans="1:9" x14ac:dyDescent="0.3">
      <c r="A137">
        <v>155180991</v>
      </c>
      <c r="B137" s="1">
        <v>44822</v>
      </c>
      <c r="C137" s="1">
        <v>44877</v>
      </c>
      <c r="D137" t="s">
        <v>7</v>
      </c>
      <c r="E137">
        <v>39</v>
      </c>
      <c r="F137" t="s">
        <v>6</v>
      </c>
      <c r="G137" s="19">
        <v>55</v>
      </c>
      <c r="H137" t="s">
        <v>60</v>
      </c>
      <c r="I137">
        <v>2022</v>
      </c>
    </row>
    <row r="138" spans="1:9" x14ac:dyDescent="0.3">
      <c r="A138">
        <v>155713732</v>
      </c>
      <c r="B138" s="1">
        <v>44822</v>
      </c>
      <c r="C138" s="1">
        <v>44834</v>
      </c>
      <c r="D138" t="s">
        <v>7</v>
      </c>
      <c r="E138">
        <v>39</v>
      </c>
      <c r="F138" t="s">
        <v>6</v>
      </c>
      <c r="G138" s="19">
        <v>12</v>
      </c>
      <c r="H138" t="s">
        <v>60</v>
      </c>
      <c r="I138">
        <v>2022</v>
      </c>
    </row>
    <row r="139" spans="1:9" x14ac:dyDescent="0.3">
      <c r="A139">
        <v>155204060</v>
      </c>
      <c r="B139" s="1">
        <v>44822</v>
      </c>
      <c r="C139" s="1">
        <v>44851</v>
      </c>
      <c r="D139" t="s">
        <v>7</v>
      </c>
      <c r="E139">
        <v>39</v>
      </c>
      <c r="F139" t="s">
        <v>6</v>
      </c>
      <c r="G139" s="19">
        <v>29</v>
      </c>
      <c r="H139" t="s">
        <v>60</v>
      </c>
      <c r="I139">
        <v>2022</v>
      </c>
    </row>
    <row r="140" spans="1:9" x14ac:dyDescent="0.3">
      <c r="A140">
        <v>136817161</v>
      </c>
      <c r="B140" s="1">
        <v>44823</v>
      </c>
      <c r="C140" s="1">
        <v>44851</v>
      </c>
      <c r="D140" t="s">
        <v>8</v>
      </c>
      <c r="E140">
        <v>39</v>
      </c>
      <c r="F140" t="s">
        <v>6</v>
      </c>
      <c r="G140" s="19">
        <v>28</v>
      </c>
      <c r="H140" t="s">
        <v>61</v>
      </c>
      <c r="I140">
        <v>2022</v>
      </c>
    </row>
    <row r="141" spans="1:9" x14ac:dyDescent="0.3">
      <c r="A141">
        <v>126212861</v>
      </c>
      <c r="B141" s="1">
        <v>44823</v>
      </c>
      <c r="C141" s="1">
        <v>44823</v>
      </c>
      <c r="D141" t="s">
        <v>7</v>
      </c>
      <c r="E141">
        <v>39</v>
      </c>
      <c r="F141" t="s">
        <v>6</v>
      </c>
      <c r="G141" s="19">
        <v>0</v>
      </c>
      <c r="H141" t="s">
        <v>61</v>
      </c>
      <c r="I141">
        <v>2022</v>
      </c>
    </row>
    <row r="142" spans="1:9" x14ac:dyDescent="0.3">
      <c r="A142">
        <v>155265877</v>
      </c>
      <c r="B142" s="1">
        <v>44823</v>
      </c>
      <c r="C142" s="1">
        <v>44967</v>
      </c>
      <c r="D142" t="s">
        <v>7</v>
      </c>
      <c r="E142">
        <v>39</v>
      </c>
      <c r="F142" t="s">
        <v>6</v>
      </c>
      <c r="G142" s="19">
        <v>144</v>
      </c>
      <c r="H142" t="s">
        <v>61</v>
      </c>
      <c r="I142">
        <v>2022</v>
      </c>
    </row>
    <row r="143" spans="1:9" x14ac:dyDescent="0.3">
      <c r="A143">
        <v>155916753</v>
      </c>
      <c r="B143" s="1">
        <v>44823</v>
      </c>
      <c r="C143" s="1">
        <v>44976</v>
      </c>
      <c r="D143" t="s">
        <v>7</v>
      </c>
      <c r="E143">
        <v>39</v>
      </c>
      <c r="F143" t="s">
        <v>6</v>
      </c>
      <c r="G143" s="19">
        <v>153</v>
      </c>
      <c r="H143" t="s">
        <v>61</v>
      </c>
      <c r="I143">
        <v>2022</v>
      </c>
    </row>
    <row r="144" spans="1:9" x14ac:dyDescent="0.3">
      <c r="A144">
        <v>155927984</v>
      </c>
      <c r="B144" s="1">
        <v>44823</v>
      </c>
      <c r="C144" s="1">
        <v>44912</v>
      </c>
      <c r="D144" t="s">
        <v>7</v>
      </c>
      <c r="E144">
        <v>39</v>
      </c>
      <c r="F144" t="s">
        <v>6</v>
      </c>
      <c r="G144" s="19">
        <v>89</v>
      </c>
      <c r="H144" t="s">
        <v>61</v>
      </c>
      <c r="I144">
        <v>2022</v>
      </c>
    </row>
    <row r="145" spans="1:9" x14ac:dyDescent="0.3">
      <c r="A145">
        <v>155876104</v>
      </c>
      <c r="B145" s="1">
        <v>44823</v>
      </c>
      <c r="C145" s="1">
        <v>44909</v>
      </c>
      <c r="D145" t="s">
        <v>7</v>
      </c>
      <c r="E145">
        <v>39</v>
      </c>
      <c r="F145" t="s">
        <v>6</v>
      </c>
      <c r="G145" s="19">
        <v>86</v>
      </c>
      <c r="H145" t="s">
        <v>61</v>
      </c>
      <c r="I145">
        <v>2022</v>
      </c>
    </row>
    <row r="146" spans="1:9" x14ac:dyDescent="0.3">
      <c r="A146">
        <v>155733164</v>
      </c>
      <c r="B146" s="1">
        <v>44823</v>
      </c>
      <c r="C146" s="1">
        <v>44823</v>
      </c>
      <c r="D146" t="s">
        <v>7</v>
      </c>
      <c r="E146">
        <v>39</v>
      </c>
      <c r="F146" t="s">
        <v>6</v>
      </c>
      <c r="G146" s="19">
        <v>0</v>
      </c>
      <c r="H146" t="s">
        <v>61</v>
      </c>
      <c r="I146">
        <v>2022</v>
      </c>
    </row>
    <row r="147" spans="1:9" x14ac:dyDescent="0.3">
      <c r="A147">
        <v>153832728</v>
      </c>
      <c r="B147" s="1">
        <v>44823</v>
      </c>
      <c r="C147" s="1">
        <v>44852</v>
      </c>
      <c r="D147" t="s">
        <v>7</v>
      </c>
      <c r="E147">
        <v>39</v>
      </c>
      <c r="F147" t="s">
        <v>6</v>
      </c>
      <c r="G147" s="19">
        <v>29</v>
      </c>
      <c r="H147" t="s">
        <v>61</v>
      </c>
      <c r="I147">
        <v>2022</v>
      </c>
    </row>
    <row r="148" spans="1:9" x14ac:dyDescent="0.3">
      <c r="A148">
        <v>155876188</v>
      </c>
      <c r="B148" s="1">
        <v>44823</v>
      </c>
      <c r="C148" s="1">
        <v>44854</v>
      </c>
      <c r="D148" t="s">
        <v>7</v>
      </c>
      <c r="E148">
        <v>39</v>
      </c>
      <c r="F148" t="s">
        <v>6</v>
      </c>
      <c r="G148" s="19">
        <v>31</v>
      </c>
      <c r="H148" t="s">
        <v>61</v>
      </c>
      <c r="I148">
        <v>2022</v>
      </c>
    </row>
    <row r="149" spans="1:9" x14ac:dyDescent="0.3">
      <c r="A149">
        <v>150687940</v>
      </c>
      <c r="B149" s="1">
        <v>44823</v>
      </c>
      <c r="C149" s="1">
        <v>44852</v>
      </c>
      <c r="D149" t="s">
        <v>7</v>
      </c>
      <c r="E149">
        <v>39</v>
      </c>
      <c r="F149" t="s">
        <v>6</v>
      </c>
      <c r="G149" s="19">
        <v>29</v>
      </c>
      <c r="H149" t="s">
        <v>61</v>
      </c>
      <c r="I149">
        <v>2022</v>
      </c>
    </row>
    <row r="150" spans="1:9" x14ac:dyDescent="0.3">
      <c r="A150">
        <v>155967446</v>
      </c>
      <c r="B150" s="1">
        <v>44824</v>
      </c>
      <c r="D150" t="s">
        <v>7</v>
      </c>
      <c r="E150">
        <v>39</v>
      </c>
      <c r="F150" t="s">
        <v>6</v>
      </c>
      <c r="H150" t="s">
        <v>62</v>
      </c>
      <c r="I150">
        <v>2022</v>
      </c>
    </row>
    <row r="151" spans="1:9" x14ac:dyDescent="0.3">
      <c r="A151">
        <v>155687378</v>
      </c>
      <c r="B151" s="1">
        <v>44824</v>
      </c>
      <c r="C151" s="1">
        <v>45012</v>
      </c>
      <c r="D151" t="s">
        <v>7</v>
      </c>
      <c r="E151">
        <v>39</v>
      </c>
      <c r="F151" t="s">
        <v>6</v>
      </c>
      <c r="G151" s="19">
        <v>188</v>
      </c>
      <c r="H151" t="s">
        <v>62</v>
      </c>
      <c r="I151">
        <v>2022</v>
      </c>
    </row>
    <row r="152" spans="1:9" x14ac:dyDescent="0.3">
      <c r="A152">
        <v>156020667</v>
      </c>
      <c r="B152" s="1">
        <v>44824</v>
      </c>
      <c r="C152" s="1">
        <v>45055</v>
      </c>
      <c r="D152" t="s">
        <v>7</v>
      </c>
      <c r="E152">
        <v>39</v>
      </c>
      <c r="F152" t="s">
        <v>6</v>
      </c>
      <c r="G152" s="19">
        <v>231</v>
      </c>
      <c r="H152" t="s">
        <v>62</v>
      </c>
      <c r="I152">
        <v>2022</v>
      </c>
    </row>
    <row r="153" spans="1:9" x14ac:dyDescent="0.3">
      <c r="A153">
        <v>155869412</v>
      </c>
      <c r="B153" s="1">
        <v>44824</v>
      </c>
      <c r="C153" s="1">
        <v>44916</v>
      </c>
      <c r="D153" t="s">
        <v>7</v>
      </c>
      <c r="E153">
        <v>39</v>
      </c>
      <c r="F153" t="s">
        <v>6</v>
      </c>
      <c r="G153" s="19">
        <v>92</v>
      </c>
      <c r="H153" t="s">
        <v>62</v>
      </c>
      <c r="I153">
        <v>2022</v>
      </c>
    </row>
    <row r="154" spans="1:9" x14ac:dyDescent="0.3">
      <c r="A154">
        <v>156042204</v>
      </c>
      <c r="B154" s="1">
        <v>44824</v>
      </c>
      <c r="C154" s="1">
        <v>44873</v>
      </c>
      <c r="D154" t="s">
        <v>7</v>
      </c>
      <c r="E154">
        <v>39</v>
      </c>
      <c r="F154" t="s">
        <v>6</v>
      </c>
      <c r="G154" s="19">
        <v>49</v>
      </c>
      <c r="H154" t="s">
        <v>62</v>
      </c>
      <c r="I154">
        <v>2022</v>
      </c>
    </row>
    <row r="155" spans="1:9" x14ac:dyDescent="0.3">
      <c r="A155">
        <v>153568990</v>
      </c>
      <c r="B155" s="1">
        <v>44824</v>
      </c>
      <c r="C155" s="1">
        <v>44834</v>
      </c>
      <c r="D155" t="s">
        <v>7</v>
      </c>
      <c r="E155">
        <v>39</v>
      </c>
      <c r="F155" t="s">
        <v>6</v>
      </c>
      <c r="G155" s="19">
        <v>10</v>
      </c>
      <c r="H155" t="s">
        <v>62</v>
      </c>
      <c r="I155">
        <v>2022</v>
      </c>
    </row>
    <row r="156" spans="1:9" x14ac:dyDescent="0.3">
      <c r="A156">
        <v>155327111</v>
      </c>
      <c r="B156" s="1">
        <v>44824</v>
      </c>
      <c r="C156" s="1">
        <v>44865</v>
      </c>
      <c r="D156" t="s">
        <v>7</v>
      </c>
      <c r="E156">
        <v>39</v>
      </c>
      <c r="F156" t="s">
        <v>6</v>
      </c>
      <c r="G156" s="19">
        <v>41</v>
      </c>
      <c r="H156" t="s">
        <v>62</v>
      </c>
      <c r="I156">
        <v>2022</v>
      </c>
    </row>
    <row r="157" spans="1:9" x14ac:dyDescent="0.3">
      <c r="A157">
        <v>155270521</v>
      </c>
      <c r="B157" s="1">
        <v>44824</v>
      </c>
      <c r="C157" s="1">
        <v>45146</v>
      </c>
      <c r="D157" t="s">
        <v>7</v>
      </c>
      <c r="E157">
        <v>39</v>
      </c>
      <c r="F157" t="s">
        <v>6</v>
      </c>
      <c r="G157" s="19">
        <v>322</v>
      </c>
      <c r="H157" t="s">
        <v>62</v>
      </c>
      <c r="I157">
        <v>2022</v>
      </c>
    </row>
    <row r="158" spans="1:9" x14ac:dyDescent="0.3">
      <c r="A158">
        <v>155991618</v>
      </c>
      <c r="B158" s="1">
        <v>44825</v>
      </c>
      <c r="C158" s="1">
        <v>45105</v>
      </c>
      <c r="D158" t="s">
        <v>7</v>
      </c>
      <c r="E158">
        <v>39</v>
      </c>
      <c r="F158" t="s">
        <v>6</v>
      </c>
      <c r="G158" s="19">
        <v>280</v>
      </c>
      <c r="H158" t="s">
        <v>63</v>
      </c>
      <c r="I158">
        <v>2022</v>
      </c>
    </row>
    <row r="159" spans="1:9" x14ac:dyDescent="0.3">
      <c r="A159">
        <v>156045144</v>
      </c>
      <c r="B159" s="1">
        <v>44825</v>
      </c>
      <c r="C159" s="1">
        <v>44901</v>
      </c>
      <c r="D159" t="s">
        <v>7</v>
      </c>
      <c r="E159">
        <v>39</v>
      </c>
      <c r="F159" t="s">
        <v>6</v>
      </c>
      <c r="G159" s="19">
        <v>76</v>
      </c>
      <c r="H159" t="s">
        <v>63</v>
      </c>
      <c r="I159">
        <v>2022</v>
      </c>
    </row>
    <row r="160" spans="1:9" x14ac:dyDescent="0.3">
      <c r="A160">
        <v>155439932</v>
      </c>
      <c r="B160" s="1">
        <v>44825</v>
      </c>
      <c r="C160" s="1">
        <v>44879</v>
      </c>
      <c r="D160" t="s">
        <v>7</v>
      </c>
      <c r="E160">
        <v>39</v>
      </c>
      <c r="F160" t="s">
        <v>6</v>
      </c>
      <c r="G160" s="19">
        <v>54</v>
      </c>
      <c r="H160" t="s">
        <v>63</v>
      </c>
      <c r="I160">
        <v>2022</v>
      </c>
    </row>
    <row r="161" spans="1:9" x14ac:dyDescent="0.3">
      <c r="A161">
        <v>152674430</v>
      </c>
      <c r="B161" s="1">
        <v>44825</v>
      </c>
      <c r="C161" s="1">
        <v>44837</v>
      </c>
      <c r="D161" t="s">
        <v>7</v>
      </c>
      <c r="E161">
        <v>39</v>
      </c>
      <c r="F161" t="s">
        <v>6</v>
      </c>
      <c r="G161" s="19">
        <v>12</v>
      </c>
      <c r="H161" t="s">
        <v>63</v>
      </c>
      <c r="I161">
        <v>2022</v>
      </c>
    </row>
    <row r="162" spans="1:9" x14ac:dyDescent="0.3">
      <c r="A162">
        <v>156135106</v>
      </c>
      <c r="B162" s="1">
        <v>44826</v>
      </c>
      <c r="D162" t="s">
        <v>7</v>
      </c>
      <c r="E162">
        <v>39</v>
      </c>
      <c r="F162" t="s">
        <v>6</v>
      </c>
      <c r="H162" t="s">
        <v>64</v>
      </c>
      <c r="I162">
        <v>2022</v>
      </c>
    </row>
    <row r="163" spans="1:9" x14ac:dyDescent="0.3">
      <c r="A163">
        <v>156185490</v>
      </c>
      <c r="B163" s="1">
        <v>44826</v>
      </c>
      <c r="C163" s="1">
        <v>45048</v>
      </c>
      <c r="D163" t="s">
        <v>7</v>
      </c>
      <c r="E163">
        <v>39</v>
      </c>
      <c r="F163" t="s">
        <v>6</v>
      </c>
      <c r="G163" s="19">
        <v>222</v>
      </c>
      <c r="H163" t="s">
        <v>64</v>
      </c>
      <c r="I163">
        <v>2022</v>
      </c>
    </row>
    <row r="164" spans="1:9" x14ac:dyDescent="0.3">
      <c r="A164">
        <v>156180312</v>
      </c>
      <c r="B164" s="1">
        <v>44826</v>
      </c>
      <c r="C164" s="1">
        <v>44880</v>
      </c>
      <c r="D164" t="s">
        <v>7</v>
      </c>
      <c r="E164">
        <v>39</v>
      </c>
      <c r="F164" t="s">
        <v>6</v>
      </c>
      <c r="G164" s="19">
        <v>54</v>
      </c>
      <c r="H164" t="s">
        <v>64</v>
      </c>
      <c r="I164">
        <v>2022</v>
      </c>
    </row>
    <row r="165" spans="1:9" x14ac:dyDescent="0.3">
      <c r="A165">
        <v>151263484</v>
      </c>
      <c r="B165" s="1">
        <v>44826</v>
      </c>
      <c r="C165" s="1">
        <v>44863</v>
      </c>
      <c r="D165" t="s">
        <v>7</v>
      </c>
      <c r="E165">
        <v>39</v>
      </c>
      <c r="F165" t="s">
        <v>6</v>
      </c>
      <c r="G165" s="19">
        <v>37</v>
      </c>
      <c r="H165" t="s">
        <v>64</v>
      </c>
      <c r="I165">
        <v>2022</v>
      </c>
    </row>
    <row r="166" spans="1:9" x14ac:dyDescent="0.3">
      <c r="A166">
        <v>156008989</v>
      </c>
      <c r="B166" s="1">
        <v>44826</v>
      </c>
      <c r="C166" s="1">
        <v>44855</v>
      </c>
      <c r="D166" t="s">
        <v>7</v>
      </c>
      <c r="E166">
        <v>39</v>
      </c>
      <c r="F166" t="s">
        <v>6</v>
      </c>
      <c r="G166" s="19">
        <v>29</v>
      </c>
      <c r="H166" t="s">
        <v>64</v>
      </c>
      <c r="I166">
        <v>2022</v>
      </c>
    </row>
    <row r="167" spans="1:9" x14ac:dyDescent="0.3">
      <c r="A167">
        <v>147687218</v>
      </c>
      <c r="B167" s="1">
        <v>44826</v>
      </c>
      <c r="C167" s="1">
        <v>44863</v>
      </c>
      <c r="D167" t="s">
        <v>7</v>
      </c>
      <c r="E167">
        <v>39</v>
      </c>
      <c r="F167" t="s">
        <v>6</v>
      </c>
      <c r="G167" s="19">
        <v>37</v>
      </c>
      <c r="H167" t="s">
        <v>64</v>
      </c>
      <c r="I167">
        <v>2022</v>
      </c>
    </row>
    <row r="168" spans="1:9" x14ac:dyDescent="0.3">
      <c r="A168">
        <v>156235650</v>
      </c>
      <c r="B168" s="1">
        <v>44827</v>
      </c>
      <c r="D168" t="s">
        <v>7</v>
      </c>
      <c r="E168">
        <v>39</v>
      </c>
      <c r="F168" t="s">
        <v>6</v>
      </c>
      <c r="H168" t="s">
        <v>65</v>
      </c>
      <c r="I168">
        <v>2022</v>
      </c>
    </row>
    <row r="169" spans="1:9" x14ac:dyDescent="0.3">
      <c r="A169">
        <v>131128612</v>
      </c>
      <c r="B169" s="1">
        <v>44827</v>
      </c>
      <c r="C169" s="1">
        <v>44942</v>
      </c>
      <c r="D169" t="s">
        <v>7</v>
      </c>
      <c r="E169">
        <v>39</v>
      </c>
      <c r="F169" t="s">
        <v>6</v>
      </c>
      <c r="G169" s="19">
        <v>115</v>
      </c>
      <c r="H169" t="s">
        <v>65</v>
      </c>
      <c r="I169">
        <v>2022</v>
      </c>
    </row>
    <row r="170" spans="1:9" x14ac:dyDescent="0.3">
      <c r="A170">
        <v>156198840</v>
      </c>
      <c r="B170" s="1">
        <v>44827</v>
      </c>
      <c r="C170" s="1">
        <v>44947</v>
      </c>
      <c r="D170" t="s">
        <v>7</v>
      </c>
      <c r="E170">
        <v>39</v>
      </c>
      <c r="F170" t="s">
        <v>6</v>
      </c>
      <c r="G170" s="19">
        <v>120</v>
      </c>
      <c r="H170" t="s">
        <v>65</v>
      </c>
      <c r="I170">
        <v>2022</v>
      </c>
    </row>
    <row r="171" spans="1:9" x14ac:dyDescent="0.3">
      <c r="A171">
        <v>144166296</v>
      </c>
      <c r="B171" s="1">
        <v>44827</v>
      </c>
      <c r="C171" s="1">
        <v>44853</v>
      </c>
      <c r="D171" t="s">
        <v>7</v>
      </c>
      <c r="E171">
        <v>39</v>
      </c>
      <c r="F171" t="s">
        <v>6</v>
      </c>
      <c r="G171" s="19">
        <v>26</v>
      </c>
      <c r="H171" t="s">
        <v>65</v>
      </c>
      <c r="I171">
        <v>2022</v>
      </c>
    </row>
    <row r="172" spans="1:9" x14ac:dyDescent="0.3">
      <c r="A172">
        <v>136108848</v>
      </c>
      <c r="B172" s="1">
        <v>44827</v>
      </c>
      <c r="C172" s="1">
        <v>44895</v>
      </c>
      <c r="D172" t="s">
        <v>7</v>
      </c>
      <c r="E172">
        <v>39</v>
      </c>
      <c r="F172" t="s">
        <v>6</v>
      </c>
      <c r="G172" s="19">
        <v>68</v>
      </c>
      <c r="H172" t="s">
        <v>65</v>
      </c>
      <c r="I172">
        <v>2022</v>
      </c>
    </row>
    <row r="173" spans="1:9" x14ac:dyDescent="0.3">
      <c r="A173">
        <v>156225482</v>
      </c>
      <c r="B173" s="1">
        <v>44827</v>
      </c>
      <c r="C173" s="1">
        <v>44848</v>
      </c>
      <c r="D173" t="s">
        <v>7</v>
      </c>
      <c r="E173">
        <v>39</v>
      </c>
      <c r="F173" t="s">
        <v>6</v>
      </c>
      <c r="G173" s="19">
        <v>21</v>
      </c>
      <c r="H173" t="s">
        <v>65</v>
      </c>
      <c r="I173">
        <v>2022</v>
      </c>
    </row>
    <row r="174" spans="1:9" x14ac:dyDescent="0.3">
      <c r="A174">
        <v>156209360</v>
      </c>
      <c r="B174" s="1">
        <v>44827</v>
      </c>
      <c r="C174" s="1">
        <v>44864</v>
      </c>
      <c r="D174" t="s">
        <v>7</v>
      </c>
      <c r="E174">
        <v>39</v>
      </c>
      <c r="F174" t="s">
        <v>6</v>
      </c>
      <c r="G174" s="19">
        <v>37</v>
      </c>
      <c r="H174" t="s">
        <v>65</v>
      </c>
      <c r="I174">
        <v>2022</v>
      </c>
    </row>
    <row r="175" spans="1:9" x14ac:dyDescent="0.3">
      <c r="A175">
        <v>153492199</v>
      </c>
      <c r="B175" s="1">
        <v>44828</v>
      </c>
      <c r="C175" s="1">
        <v>44896</v>
      </c>
      <c r="D175" t="s">
        <v>7</v>
      </c>
      <c r="E175">
        <v>39</v>
      </c>
      <c r="F175" t="s">
        <v>6</v>
      </c>
      <c r="G175" s="19">
        <v>68</v>
      </c>
      <c r="H175" t="s">
        <v>66</v>
      </c>
      <c r="I175">
        <v>2022</v>
      </c>
    </row>
    <row r="176" spans="1:9" x14ac:dyDescent="0.3">
      <c r="A176">
        <v>156127439</v>
      </c>
      <c r="B176" s="1">
        <v>44828</v>
      </c>
      <c r="C176" s="1">
        <v>44866</v>
      </c>
      <c r="D176" t="s">
        <v>7</v>
      </c>
      <c r="E176">
        <v>39</v>
      </c>
      <c r="F176" t="s">
        <v>6</v>
      </c>
      <c r="G176" s="19">
        <v>38</v>
      </c>
      <c r="H176" t="s">
        <v>66</v>
      </c>
      <c r="I176">
        <v>2022</v>
      </c>
    </row>
    <row r="177" spans="1:9" x14ac:dyDescent="0.3">
      <c r="A177">
        <v>156197748</v>
      </c>
      <c r="B177" s="1">
        <v>44828</v>
      </c>
      <c r="C177" s="1">
        <v>44860</v>
      </c>
      <c r="D177" t="s">
        <v>7</v>
      </c>
      <c r="E177">
        <v>39</v>
      </c>
      <c r="F177" t="s">
        <v>6</v>
      </c>
      <c r="G177" s="19">
        <v>32</v>
      </c>
      <c r="H177" t="s">
        <v>66</v>
      </c>
      <c r="I177">
        <v>2022</v>
      </c>
    </row>
    <row r="178" spans="1:9" x14ac:dyDescent="0.3">
      <c r="A178">
        <v>156292980</v>
      </c>
      <c r="B178" s="1">
        <v>44829</v>
      </c>
      <c r="D178" t="s">
        <v>7</v>
      </c>
      <c r="E178">
        <v>39</v>
      </c>
      <c r="F178" t="s">
        <v>6</v>
      </c>
      <c r="H178" t="s">
        <v>60</v>
      </c>
      <c r="I178">
        <v>2022</v>
      </c>
    </row>
    <row r="179" spans="1:9" x14ac:dyDescent="0.3">
      <c r="A179">
        <v>129284681</v>
      </c>
      <c r="B179" s="1">
        <v>44829</v>
      </c>
      <c r="C179" s="1">
        <v>44866</v>
      </c>
      <c r="D179" t="s">
        <v>7</v>
      </c>
      <c r="E179">
        <v>39</v>
      </c>
      <c r="F179" t="s">
        <v>6</v>
      </c>
      <c r="G179" s="19">
        <v>37</v>
      </c>
      <c r="H179" t="s">
        <v>60</v>
      </c>
      <c r="I179">
        <v>2022</v>
      </c>
    </row>
    <row r="180" spans="1:9" x14ac:dyDescent="0.3">
      <c r="A180">
        <v>156249750</v>
      </c>
      <c r="B180" s="1">
        <v>44829</v>
      </c>
      <c r="C180" s="1">
        <v>44867</v>
      </c>
      <c r="D180" t="s">
        <v>7</v>
      </c>
      <c r="E180">
        <v>39</v>
      </c>
      <c r="F180" t="s">
        <v>6</v>
      </c>
      <c r="G180" s="19">
        <v>38</v>
      </c>
      <c r="H180" t="s">
        <v>60</v>
      </c>
      <c r="I180">
        <v>2022</v>
      </c>
    </row>
    <row r="181" spans="1:9" x14ac:dyDescent="0.3">
      <c r="A181">
        <v>155143974</v>
      </c>
      <c r="B181" s="1">
        <v>44829</v>
      </c>
      <c r="C181" s="1">
        <v>44883</v>
      </c>
      <c r="D181" t="s">
        <v>7</v>
      </c>
      <c r="E181">
        <v>39</v>
      </c>
      <c r="F181" t="s">
        <v>6</v>
      </c>
      <c r="G181" s="19">
        <v>54</v>
      </c>
      <c r="H181" t="s">
        <v>60</v>
      </c>
      <c r="I181">
        <v>2022</v>
      </c>
    </row>
    <row r="182" spans="1:9" x14ac:dyDescent="0.3">
      <c r="A182">
        <v>151354965</v>
      </c>
      <c r="B182" s="1">
        <v>44829</v>
      </c>
      <c r="C182" s="1">
        <v>44863</v>
      </c>
      <c r="D182" t="s">
        <v>7</v>
      </c>
      <c r="E182">
        <v>39</v>
      </c>
      <c r="F182" t="s">
        <v>6</v>
      </c>
      <c r="G182" s="19">
        <v>34</v>
      </c>
      <c r="H182" t="s">
        <v>60</v>
      </c>
      <c r="I182">
        <v>2022</v>
      </c>
    </row>
    <row r="183" spans="1:9" x14ac:dyDescent="0.3">
      <c r="A183">
        <v>156178486</v>
      </c>
      <c r="B183" s="1">
        <v>44829</v>
      </c>
      <c r="C183" s="1">
        <v>44858</v>
      </c>
      <c r="D183" t="s">
        <v>7</v>
      </c>
      <c r="E183">
        <v>39</v>
      </c>
      <c r="F183" t="s">
        <v>6</v>
      </c>
      <c r="G183" s="19">
        <v>29</v>
      </c>
      <c r="H183" t="s">
        <v>60</v>
      </c>
      <c r="I183">
        <v>2022</v>
      </c>
    </row>
    <row r="184" spans="1:9" x14ac:dyDescent="0.3">
      <c r="A184">
        <v>132314522</v>
      </c>
      <c r="B184" s="1">
        <v>44830</v>
      </c>
      <c r="C184" s="1">
        <v>44899</v>
      </c>
      <c r="D184" t="s">
        <v>7</v>
      </c>
      <c r="E184">
        <v>39</v>
      </c>
      <c r="F184" t="s">
        <v>6</v>
      </c>
      <c r="G184" s="19">
        <v>69</v>
      </c>
      <c r="H184" t="s">
        <v>61</v>
      </c>
      <c r="I184">
        <v>2022</v>
      </c>
    </row>
    <row r="185" spans="1:9" x14ac:dyDescent="0.3">
      <c r="A185">
        <v>152505897</v>
      </c>
      <c r="B185" s="1">
        <v>44830</v>
      </c>
      <c r="C185" s="1">
        <v>45023</v>
      </c>
      <c r="D185" t="s">
        <v>7</v>
      </c>
      <c r="E185">
        <v>39</v>
      </c>
      <c r="F185" t="s">
        <v>6</v>
      </c>
      <c r="G185" s="19">
        <v>193</v>
      </c>
      <c r="H185" t="s">
        <v>61</v>
      </c>
      <c r="I185">
        <v>2022</v>
      </c>
    </row>
    <row r="186" spans="1:9" x14ac:dyDescent="0.3">
      <c r="A186">
        <v>151086770</v>
      </c>
      <c r="B186" s="1">
        <v>44830</v>
      </c>
      <c r="C186" s="1">
        <v>44949</v>
      </c>
      <c r="D186" t="s">
        <v>7</v>
      </c>
      <c r="E186">
        <v>39</v>
      </c>
      <c r="F186" t="s">
        <v>6</v>
      </c>
      <c r="G186" s="19">
        <v>119</v>
      </c>
      <c r="H186" t="s">
        <v>61</v>
      </c>
      <c r="I186">
        <v>2022</v>
      </c>
    </row>
    <row r="187" spans="1:9" x14ac:dyDescent="0.3">
      <c r="A187">
        <v>148713821</v>
      </c>
      <c r="B187" s="1">
        <v>44830</v>
      </c>
      <c r="C187" s="1">
        <v>44967</v>
      </c>
      <c r="D187" t="s">
        <v>7</v>
      </c>
      <c r="E187">
        <v>39</v>
      </c>
      <c r="F187" t="s">
        <v>6</v>
      </c>
      <c r="G187" s="19">
        <v>137</v>
      </c>
      <c r="H187" t="s">
        <v>61</v>
      </c>
      <c r="I187">
        <v>2022</v>
      </c>
    </row>
    <row r="188" spans="1:9" x14ac:dyDescent="0.3">
      <c r="A188">
        <v>146422602</v>
      </c>
      <c r="B188" s="1">
        <v>44830</v>
      </c>
      <c r="C188" s="1">
        <v>44868</v>
      </c>
      <c r="D188" t="s">
        <v>7</v>
      </c>
      <c r="E188">
        <v>39</v>
      </c>
      <c r="F188" t="s">
        <v>6</v>
      </c>
      <c r="G188" s="19">
        <v>38</v>
      </c>
      <c r="H188" t="s">
        <v>61</v>
      </c>
      <c r="I188">
        <v>2022</v>
      </c>
    </row>
    <row r="189" spans="1:9" x14ac:dyDescent="0.3">
      <c r="A189">
        <v>156460574</v>
      </c>
      <c r="B189" s="1">
        <v>44830</v>
      </c>
      <c r="C189" s="1">
        <v>44882</v>
      </c>
      <c r="D189" t="s">
        <v>7</v>
      </c>
      <c r="E189">
        <v>39</v>
      </c>
      <c r="F189" t="s">
        <v>6</v>
      </c>
      <c r="G189" s="19">
        <v>52</v>
      </c>
      <c r="H189" t="s">
        <v>61</v>
      </c>
      <c r="I189">
        <v>2022</v>
      </c>
    </row>
    <row r="190" spans="1:9" x14ac:dyDescent="0.3">
      <c r="A190">
        <v>156364063</v>
      </c>
      <c r="B190" s="1">
        <v>44830</v>
      </c>
      <c r="C190" s="1">
        <v>44879</v>
      </c>
      <c r="D190" t="s">
        <v>7</v>
      </c>
      <c r="E190">
        <v>39</v>
      </c>
      <c r="F190" t="s">
        <v>6</v>
      </c>
      <c r="G190" s="19">
        <v>49</v>
      </c>
      <c r="H190" t="s">
        <v>61</v>
      </c>
      <c r="I190">
        <v>2022</v>
      </c>
    </row>
    <row r="191" spans="1:9" x14ac:dyDescent="0.3">
      <c r="A191">
        <v>149139298</v>
      </c>
      <c r="B191" s="1">
        <v>44830</v>
      </c>
      <c r="C191" s="1">
        <v>44860</v>
      </c>
      <c r="D191" t="s">
        <v>7</v>
      </c>
      <c r="E191">
        <v>39</v>
      </c>
      <c r="F191" t="s">
        <v>6</v>
      </c>
      <c r="G191" s="19">
        <v>30</v>
      </c>
      <c r="H191" t="s">
        <v>61</v>
      </c>
      <c r="I191">
        <v>2022</v>
      </c>
    </row>
    <row r="192" spans="1:9" x14ac:dyDescent="0.3">
      <c r="A192">
        <v>156371514</v>
      </c>
      <c r="B192" s="1">
        <v>44830</v>
      </c>
      <c r="C192" s="1">
        <v>44858</v>
      </c>
      <c r="D192" t="s">
        <v>7</v>
      </c>
      <c r="E192">
        <v>39</v>
      </c>
      <c r="F192" t="s">
        <v>6</v>
      </c>
      <c r="G192" s="19">
        <v>28</v>
      </c>
      <c r="H192" t="s">
        <v>61</v>
      </c>
      <c r="I192">
        <v>2022</v>
      </c>
    </row>
    <row r="193" spans="1:9" x14ac:dyDescent="0.3">
      <c r="A193">
        <v>156423167</v>
      </c>
      <c r="B193" s="1">
        <v>44831</v>
      </c>
      <c r="C193" s="1">
        <v>44944</v>
      </c>
      <c r="D193" t="s">
        <v>7</v>
      </c>
      <c r="E193">
        <v>39</v>
      </c>
      <c r="F193" t="s">
        <v>6</v>
      </c>
      <c r="G193" s="19">
        <v>113</v>
      </c>
      <c r="H193" t="s">
        <v>62</v>
      </c>
      <c r="I193">
        <v>2022</v>
      </c>
    </row>
    <row r="194" spans="1:9" x14ac:dyDescent="0.3">
      <c r="A194">
        <v>155199164</v>
      </c>
      <c r="B194" s="1">
        <v>44831</v>
      </c>
      <c r="C194" s="1">
        <v>44929</v>
      </c>
      <c r="D194" t="s">
        <v>7</v>
      </c>
      <c r="E194">
        <v>39</v>
      </c>
      <c r="F194" t="s">
        <v>6</v>
      </c>
      <c r="G194" s="19">
        <v>98</v>
      </c>
      <c r="H194" t="s">
        <v>62</v>
      </c>
      <c r="I194">
        <v>2022</v>
      </c>
    </row>
    <row r="195" spans="1:9" x14ac:dyDescent="0.3">
      <c r="A195">
        <v>156373191</v>
      </c>
      <c r="B195" s="1">
        <v>44831</v>
      </c>
      <c r="C195" s="1">
        <v>44923</v>
      </c>
      <c r="D195" t="s">
        <v>7</v>
      </c>
      <c r="E195">
        <v>39</v>
      </c>
      <c r="F195" t="s">
        <v>6</v>
      </c>
      <c r="G195" s="19">
        <v>92</v>
      </c>
      <c r="H195" t="s">
        <v>62</v>
      </c>
      <c r="I195">
        <v>2022</v>
      </c>
    </row>
    <row r="196" spans="1:9" x14ac:dyDescent="0.3">
      <c r="A196">
        <v>156517374</v>
      </c>
      <c r="B196" s="1">
        <v>44831</v>
      </c>
      <c r="C196" s="1">
        <v>44831</v>
      </c>
      <c r="D196" t="s">
        <v>7</v>
      </c>
      <c r="E196">
        <v>39</v>
      </c>
      <c r="F196" t="s">
        <v>6</v>
      </c>
      <c r="G196" s="19">
        <v>0</v>
      </c>
      <c r="H196" t="s">
        <v>62</v>
      </c>
      <c r="I196">
        <v>2022</v>
      </c>
    </row>
    <row r="197" spans="1:9" x14ac:dyDescent="0.3">
      <c r="A197">
        <v>156032089</v>
      </c>
      <c r="B197" s="1">
        <v>44832</v>
      </c>
      <c r="D197" t="s">
        <v>7</v>
      </c>
      <c r="E197">
        <v>39</v>
      </c>
      <c r="F197" t="s">
        <v>6</v>
      </c>
      <c r="H197" t="s">
        <v>63</v>
      </c>
      <c r="I197">
        <v>2022</v>
      </c>
    </row>
    <row r="198" spans="1:9" x14ac:dyDescent="0.3">
      <c r="A198">
        <v>154563706</v>
      </c>
      <c r="B198" s="1">
        <v>44832</v>
      </c>
      <c r="C198" s="1">
        <v>45010</v>
      </c>
      <c r="D198" t="s">
        <v>7</v>
      </c>
      <c r="E198">
        <v>39</v>
      </c>
      <c r="F198" t="s">
        <v>6</v>
      </c>
      <c r="G198" s="19">
        <v>178</v>
      </c>
      <c r="H198" t="s">
        <v>63</v>
      </c>
      <c r="I198">
        <v>2022</v>
      </c>
    </row>
    <row r="199" spans="1:9" x14ac:dyDescent="0.3">
      <c r="A199">
        <v>124481723</v>
      </c>
      <c r="B199" s="1">
        <v>44832</v>
      </c>
      <c r="C199" s="1">
        <v>44887</v>
      </c>
      <c r="D199" t="s">
        <v>7</v>
      </c>
      <c r="E199">
        <v>39</v>
      </c>
      <c r="F199" t="s">
        <v>6</v>
      </c>
      <c r="G199" s="19">
        <v>55</v>
      </c>
      <c r="H199" t="s">
        <v>63</v>
      </c>
      <c r="I199">
        <v>2022</v>
      </c>
    </row>
    <row r="200" spans="1:9" x14ac:dyDescent="0.3">
      <c r="A200">
        <v>146861757</v>
      </c>
      <c r="B200" s="1">
        <v>44832</v>
      </c>
      <c r="C200" s="1">
        <v>44917</v>
      </c>
      <c r="D200" t="s">
        <v>7</v>
      </c>
      <c r="E200">
        <v>39</v>
      </c>
      <c r="F200" t="s">
        <v>6</v>
      </c>
      <c r="G200" s="19">
        <v>85</v>
      </c>
      <c r="H200" t="s">
        <v>63</v>
      </c>
      <c r="I200">
        <v>2022</v>
      </c>
    </row>
    <row r="201" spans="1:9" x14ac:dyDescent="0.3">
      <c r="A201">
        <v>152476124</v>
      </c>
      <c r="B201" s="1">
        <v>44832</v>
      </c>
      <c r="C201" s="1">
        <v>44893</v>
      </c>
      <c r="D201" t="s">
        <v>7</v>
      </c>
      <c r="E201">
        <v>39</v>
      </c>
      <c r="F201" t="s">
        <v>6</v>
      </c>
      <c r="G201" s="19">
        <v>61</v>
      </c>
      <c r="H201" t="s">
        <v>63</v>
      </c>
      <c r="I201">
        <v>2022</v>
      </c>
    </row>
    <row r="202" spans="1:9" x14ac:dyDescent="0.3">
      <c r="A202">
        <v>156192628</v>
      </c>
      <c r="B202" s="1">
        <v>44832</v>
      </c>
      <c r="C202" s="1">
        <v>44885</v>
      </c>
      <c r="D202" t="s">
        <v>7</v>
      </c>
      <c r="E202">
        <v>39</v>
      </c>
      <c r="F202" t="s">
        <v>6</v>
      </c>
      <c r="G202" s="19">
        <v>53</v>
      </c>
      <c r="H202" t="s">
        <v>63</v>
      </c>
      <c r="I202">
        <v>2022</v>
      </c>
    </row>
    <row r="203" spans="1:9" x14ac:dyDescent="0.3">
      <c r="A203">
        <v>152109538</v>
      </c>
      <c r="B203" s="1">
        <v>44832</v>
      </c>
      <c r="C203" s="1">
        <v>44853</v>
      </c>
      <c r="D203" t="s">
        <v>7</v>
      </c>
      <c r="E203">
        <v>39</v>
      </c>
      <c r="F203" t="s">
        <v>6</v>
      </c>
      <c r="G203" s="19">
        <v>21</v>
      </c>
      <c r="H203" t="s">
        <v>63</v>
      </c>
      <c r="I203">
        <v>2022</v>
      </c>
    </row>
    <row r="204" spans="1:9" x14ac:dyDescent="0.3">
      <c r="A204">
        <v>156659071</v>
      </c>
      <c r="B204" s="1">
        <v>44832</v>
      </c>
      <c r="C204" s="1">
        <v>44833</v>
      </c>
      <c r="D204" t="s">
        <v>7</v>
      </c>
      <c r="E204">
        <v>39</v>
      </c>
      <c r="F204" t="s">
        <v>6</v>
      </c>
      <c r="G204" s="19">
        <v>1</v>
      </c>
      <c r="H204" t="s">
        <v>63</v>
      </c>
      <c r="I204">
        <v>2022</v>
      </c>
    </row>
    <row r="205" spans="1:9" x14ac:dyDescent="0.3">
      <c r="A205">
        <v>156717075</v>
      </c>
      <c r="B205" s="1">
        <v>44833</v>
      </c>
      <c r="C205" s="1">
        <v>45030</v>
      </c>
      <c r="D205" t="s">
        <v>7</v>
      </c>
      <c r="E205">
        <v>39</v>
      </c>
      <c r="F205" t="s">
        <v>6</v>
      </c>
      <c r="G205" s="19">
        <v>197</v>
      </c>
      <c r="H205" t="s">
        <v>64</v>
      </c>
      <c r="I205">
        <v>2022</v>
      </c>
    </row>
    <row r="206" spans="1:9" x14ac:dyDescent="0.3">
      <c r="A206">
        <v>156715443</v>
      </c>
      <c r="B206" s="1">
        <v>44833</v>
      </c>
      <c r="C206" s="1">
        <v>44924</v>
      </c>
      <c r="D206" t="s">
        <v>7</v>
      </c>
      <c r="E206">
        <v>39</v>
      </c>
      <c r="F206" t="s">
        <v>6</v>
      </c>
      <c r="G206" s="19">
        <v>91</v>
      </c>
      <c r="H206" t="s">
        <v>64</v>
      </c>
      <c r="I206">
        <v>2022</v>
      </c>
    </row>
    <row r="207" spans="1:9" x14ac:dyDescent="0.3">
      <c r="A207">
        <v>147656952</v>
      </c>
      <c r="B207" s="1">
        <v>44833</v>
      </c>
      <c r="C207" s="1">
        <v>44923</v>
      </c>
      <c r="D207" t="s">
        <v>7</v>
      </c>
      <c r="E207">
        <v>39</v>
      </c>
      <c r="F207" t="s">
        <v>6</v>
      </c>
      <c r="G207" s="19">
        <v>90</v>
      </c>
      <c r="H207" t="s">
        <v>64</v>
      </c>
      <c r="I207">
        <v>2022</v>
      </c>
    </row>
    <row r="208" spans="1:9" x14ac:dyDescent="0.3">
      <c r="A208">
        <v>152918862</v>
      </c>
      <c r="B208" s="1">
        <v>44833</v>
      </c>
      <c r="C208" s="1">
        <v>44885</v>
      </c>
      <c r="D208" t="s">
        <v>7</v>
      </c>
      <c r="E208">
        <v>39</v>
      </c>
      <c r="F208" t="s">
        <v>6</v>
      </c>
      <c r="G208" s="19">
        <v>52</v>
      </c>
      <c r="H208" t="s">
        <v>64</v>
      </c>
      <c r="I208">
        <v>2022</v>
      </c>
    </row>
    <row r="209" spans="1:9" x14ac:dyDescent="0.3">
      <c r="A209">
        <v>146866890</v>
      </c>
      <c r="B209" s="1">
        <v>44833</v>
      </c>
      <c r="C209" s="1">
        <v>44858</v>
      </c>
      <c r="D209" t="s">
        <v>7</v>
      </c>
      <c r="E209">
        <v>39</v>
      </c>
      <c r="F209" t="s">
        <v>6</v>
      </c>
      <c r="G209" s="19">
        <v>25</v>
      </c>
      <c r="H209" t="s">
        <v>64</v>
      </c>
      <c r="I209">
        <v>2022</v>
      </c>
    </row>
    <row r="210" spans="1:9" x14ac:dyDescent="0.3">
      <c r="A210">
        <v>151735444</v>
      </c>
      <c r="B210" s="1">
        <v>44834</v>
      </c>
      <c r="D210" t="s">
        <v>7</v>
      </c>
      <c r="E210">
        <v>39</v>
      </c>
      <c r="F210" t="s">
        <v>6</v>
      </c>
      <c r="H210" t="s">
        <v>65</v>
      </c>
      <c r="I210">
        <v>2022</v>
      </c>
    </row>
    <row r="211" spans="1:9" x14ac:dyDescent="0.3">
      <c r="A211">
        <v>155608371</v>
      </c>
      <c r="B211" s="1">
        <v>44834</v>
      </c>
      <c r="C211" s="1">
        <v>44835</v>
      </c>
      <c r="D211" t="s">
        <v>8</v>
      </c>
      <c r="E211">
        <v>39</v>
      </c>
      <c r="F211" t="s">
        <v>6</v>
      </c>
      <c r="G211" s="19">
        <v>1</v>
      </c>
      <c r="H211" t="s">
        <v>65</v>
      </c>
      <c r="I211">
        <v>2022</v>
      </c>
    </row>
    <row r="212" spans="1:9" x14ac:dyDescent="0.3">
      <c r="A212">
        <v>156809544</v>
      </c>
      <c r="B212" s="1">
        <v>44834</v>
      </c>
      <c r="C212" s="1">
        <v>45013</v>
      </c>
      <c r="D212" t="s">
        <v>7</v>
      </c>
      <c r="E212">
        <v>39</v>
      </c>
      <c r="F212" t="s">
        <v>6</v>
      </c>
      <c r="G212" s="19">
        <v>179</v>
      </c>
      <c r="H212" t="s">
        <v>65</v>
      </c>
      <c r="I212">
        <v>2022</v>
      </c>
    </row>
    <row r="213" spans="1:9" x14ac:dyDescent="0.3">
      <c r="A213">
        <v>156813288</v>
      </c>
      <c r="B213" s="1">
        <v>44834</v>
      </c>
      <c r="C213" s="1">
        <v>45066</v>
      </c>
      <c r="D213" t="s">
        <v>7</v>
      </c>
      <c r="E213">
        <v>39</v>
      </c>
      <c r="F213" t="s">
        <v>6</v>
      </c>
      <c r="G213" s="19">
        <v>232</v>
      </c>
      <c r="H213" t="s">
        <v>65</v>
      </c>
      <c r="I213">
        <v>2022</v>
      </c>
    </row>
    <row r="214" spans="1:9" x14ac:dyDescent="0.3">
      <c r="A214">
        <v>156817946</v>
      </c>
      <c r="B214" s="1">
        <v>44834</v>
      </c>
      <c r="C214" s="1">
        <v>45080</v>
      </c>
      <c r="D214" t="s">
        <v>7</v>
      </c>
      <c r="E214">
        <v>39</v>
      </c>
      <c r="F214" t="s">
        <v>6</v>
      </c>
      <c r="G214" s="19">
        <v>246</v>
      </c>
      <c r="H214" t="s">
        <v>65</v>
      </c>
      <c r="I214">
        <v>2022</v>
      </c>
    </row>
    <row r="215" spans="1:9" x14ac:dyDescent="0.3">
      <c r="A215">
        <v>156194905</v>
      </c>
      <c r="B215" s="1">
        <v>44834</v>
      </c>
      <c r="C215" s="1">
        <v>45022</v>
      </c>
      <c r="D215" t="s">
        <v>7</v>
      </c>
      <c r="E215">
        <v>39</v>
      </c>
      <c r="F215" t="s">
        <v>6</v>
      </c>
      <c r="G215" s="19">
        <v>188</v>
      </c>
      <c r="H215" t="s">
        <v>65</v>
      </c>
      <c r="I215">
        <v>2022</v>
      </c>
    </row>
    <row r="216" spans="1:9" x14ac:dyDescent="0.3">
      <c r="A216">
        <v>148568942</v>
      </c>
      <c r="B216" s="1">
        <v>44834</v>
      </c>
      <c r="C216" s="1">
        <v>44932</v>
      </c>
      <c r="D216" t="s">
        <v>7</v>
      </c>
      <c r="E216">
        <v>39</v>
      </c>
      <c r="F216" t="s">
        <v>6</v>
      </c>
      <c r="G216" s="19">
        <v>98</v>
      </c>
      <c r="H216" t="s">
        <v>65</v>
      </c>
      <c r="I216">
        <v>2022</v>
      </c>
    </row>
    <row r="217" spans="1:9" x14ac:dyDescent="0.3">
      <c r="A217">
        <v>151154171</v>
      </c>
      <c r="B217" s="1">
        <v>44834</v>
      </c>
      <c r="C217" s="1">
        <v>44894</v>
      </c>
      <c r="D217" t="s">
        <v>7</v>
      </c>
      <c r="E217">
        <v>39</v>
      </c>
      <c r="F217" t="s">
        <v>6</v>
      </c>
      <c r="G217" s="19">
        <v>60</v>
      </c>
      <c r="H217" t="s">
        <v>65</v>
      </c>
      <c r="I217">
        <v>2022</v>
      </c>
    </row>
    <row r="218" spans="1:9" x14ac:dyDescent="0.3">
      <c r="A218">
        <v>122921842</v>
      </c>
      <c r="B218" s="1">
        <v>44834</v>
      </c>
      <c r="C218" s="1">
        <v>44871</v>
      </c>
      <c r="D218" t="s">
        <v>7</v>
      </c>
      <c r="E218">
        <v>39</v>
      </c>
      <c r="F218" t="s">
        <v>6</v>
      </c>
      <c r="G218" s="19">
        <v>37</v>
      </c>
      <c r="H218" t="s">
        <v>65</v>
      </c>
      <c r="I218">
        <v>2022</v>
      </c>
    </row>
    <row r="219" spans="1:9" x14ac:dyDescent="0.3">
      <c r="A219">
        <v>156754286</v>
      </c>
      <c r="B219" s="1">
        <v>44835</v>
      </c>
      <c r="D219" t="s">
        <v>7</v>
      </c>
      <c r="E219">
        <v>39</v>
      </c>
      <c r="F219" t="s">
        <v>6</v>
      </c>
      <c r="H219" t="s">
        <v>66</v>
      </c>
      <c r="I219">
        <v>2022</v>
      </c>
    </row>
    <row r="220" spans="1:9" x14ac:dyDescent="0.3">
      <c r="A220">
        <v>144160302</v>
      </c>
      <c r="B220" s="1">
        <v>44835</v>
      </c>
      <c r="C220" s="1">
        <v>44836</v>
      </c>
      <c r="D220" t="s">
        <v>7</v>
      </c>
      <c r="E220">
        <v>39</v>
      </c>
      <c r="F220" t="s">
        <v>6</v>
      </c>
      <c r="G220" s="19">
        <v>1</v>
      </c>
      <c r="H220" t="s">
        <v>66</v>
      </c>
      <c r="I220">
        <v>2022</v>
      </c>
    </row>
    <row r="221" spans="1:9" x14ac:dyDescent="0.3">
      <c r="A221">
        <v>155045053</v>
      </c>
      <c r="B221" s="1">
        <v>44835</v>
      </c>
      <c r="C221" s="1">
        <v>44927</v>
      </c>
      <c r="D221" t="s">
        <v>7</v>
      </c>
      <c r="E221">
        <v>39</v>
      </c>
      <c r="F221" t="s">
        <v>6</v>
      </c>
      <c r="G221" s="19">
        <v>92</v>
      </c>
      <c r="H221" t="s">
        <v>66</v>
      </c>
      <c r="I221">
        <v>2022</v>
      </c>
    </row>
    <row r="222" spans="1:9" x14ac:dyDescent="0.3">
      <c r="A222">
        <v>133869989</v>
      </c>
      <c r="B222" s="1">
        <v>44835</v>
      </c>
      <c r="C222" s="1">
        <v>44867</v>
      </c>
      <c r="D222" t="s">
        <v>7</v>
      </c>
      <c r="E222">
        <v>39</v>
      </c>
      <c r="F222" t="s">
        <v>6</v>
      </c>
      <c r="G222" s="19">
        <v>32</v>
      </c>
      <c r="H222" t="s">
        <v>66</v>
      </c>
      <c r="I222">
        <v>2022</v>
      </c>
    </row>
    <row r="223" spans="1:9" x14ac:dyDescent="0.3">
      <c r="A223">
        <v>156863940</v>
      </c>
      <c r="B223" s="1">
        <v>44835</v>
      </c>
      <c r="C223" s="1">
        <v>44867</v>
      </c>
      <c r="D223" t="s">
        <v>7</v>
      </c>
      <c r="E223">
        <v>39</v>
      </c>
      <c r="F223" t="s">
        <v>6</v>
      </c>
      <c r="G223" s="19">
        <v>32</v>
      </c>
      <c r="H223" t="s">
        <v>66</v>
      </c>
      <c r="I223">
        <v>2022</v>
      </c>
    </row>
    <row r="224" spans="1:9" x14ac:dyDescent="0.3">
      <c r="A224">
        <v>156884323</v>
      </c>
      <c r="B224" s="1">
        <v>44835</v>
      </c>
      <c r="C224" s="1">
        <v>44859</v>
      </c>
      <c r="D224" t="s">
        <v>7</v>
      </c>
      <c r="E224">
        <v>39</v>
      </c>
      <c r="F224" t="s">
        <v>6</v>
      </c>
      <c r="G224" s="19">
        <v>24</v>
      </c>
      <c r="H224" t="s">
        <v>66</v>
      </c>
      <c r="I224">
        <v>2022</v>
      </c>
    </row>
    <row r="225" spans="1:9" x14ac:dyDescent="0.3">
      <c r="A225">
        <v>156365410</v>
      </c>
      <c r="B225" s="1">
        <v>44835</v>
      </c>
      <c r="C225" s="1">
        <v>44863</v>
      </c>
      <c r="D225" t="s">
        <v>7</v>
      </c>
      <c r="E225">
        <v>39</v>
      </c>
      <c r="F225" t="s">
        <v>6</v>
      </c>
      <c r="G225" s="19">
        <v>28</v>
      </c>
      <c r="H225" t="s">
        <v>66</v>
      </c>
      <c r="I225">
        <v>2022</v>
      </c>
    </row>
    <row r="226" spans="1:9" x14ac:dyDescent="0.3">
      <c r="A226">
        <v>153957162</v>
      </c>
      <c r="B226" s="1">
        <v>44836</v>
      </c>
      <c r="D226" t="s">
        <v>7</v>
      </c>
      <c r="E226">
        <v>39</v>
      </c>
      <c r="F226" t="s">
        <v>6</v>
      </c>
      <c r="H226" t="s">
        <v>60</v>
      </c>
      <c r="I226">
        <v>2022</v>
      </c>
    </row>
    <row r="227" spans="1:9" x14ac:dyDescent="0.3">
      <c r="A227">
        <v>152436949</v>
      </c>
      <c r="B227" s="1">
        <v>44836</v>
      </c>
      <c r="C227" s="1">
        <v>44837</v>
      </c>
      <c r="D227" t="s">
        <v>8</v>
      </c>
      <c r="E227">
        <v>39</v>
      </c>
      <c r="F227" t="s">
        <v>6</v>
      </c>
      <c r="G227" s="19">
        <v>1</v>
      </c>
      <c r="H227" t="s">
        <v>60</v>
      </c>
      <c r="I227">
        <v>2022</v>
      </c>
    </row>
    <row r="228" spans="1:9" x14ac:dyDescent="0.3">
      <c r="A228">
        <v>156403612</v>
      </c>
      <c r="B228" s="1">
        <v>44836</v>
      </c>
      <c r="C228" s="1">
        <v>44952</v>
      </c>
      <c r="D228" t="s">
        <v>7</v>
      </c>
      <c r="E228">
        <v>39</v>
      </c>
      <c r="F228" t="s">
        <v>6</v>
      </c>
      <c r="G228" s="19">
        <v>116</v>
      </c>
      <c r="H228" t="s">
        <v>60</v>
      </c>
      <c r="I228">
        <v>2022</v>
      </c>
    </row>
    <row r="229" spans="1:9" x14ac:dyDescent="0.3">
      <c r="A229">
        <v>154198756</v>
      </c>
      <c r="B229" s="1">
        <v>44836</v>
      </c>
      <c r="C229" s="1">
        <v>44879</v>
      </c>
      <c r="D229" t="s">
        <v>7</v>
      </c>
      <c r="E229">
        <v>39</v>
      </c>
      <c r="F229" t="s">
        <v>6</v>
      </c>
      <c r="G229" s="19">
        <v>43</v>
      </c>
      <c r="H229" t="s">
        <v>60</v>
      </c>
      <c r="I229">
        <v>2022</v>
      </c>
    </row>
    <row r="230" spans="1:9" x14ac:dyDescent="0.3">
      <c r="A230">
        <v>156917754</v>
      </c>
      <c r="B230" s="1">
        <v>44836</v>
      </c>
      <c r="C230" s="1">
        <v>44862</v>
      </c>
      <c r="D230" t="s">
        <v>7</v>
      </c>
      <c r="E230">
        <v>39</v>
      </c>
      <c r="F230" t="s">
        <v>6</v>
      </c>
      <c r="G230" s="19">
        <v>26</v>
      </c>
      <c r="H230" t="s">
        <v>60</v>
      </c>
      <c r="I230">
        <v>2022</v>
      </c>
    </row>
    <row r="231" spans="1:9" x14ac:dyDescent="0.3">
      <c r="A231">
        <v>134975906</v>
      </c>
      <c r="B231" s="1">
        <v>44837</v>
      </c>
      <c r="C231" s="1">
        <v>44861</v>
      </c>
      <c r="D231" t="s">
        <v>7</v>
      </c>
      <c r="E231">
        <v>39</v>
      </c>
      <c r="F231" t="s">
        <v>6</v>
      </c>
      <c r="G231" s="19">
        <v>24</v>
      </c>
      <c r="H231" t="s">
        <v>61</v>
      </c>
      <c r="I231">
        <v>2022</v>
      </c>
    </row>
    <row r="232" spans="1:9" x14ac:dyDescent="0.3">
      <c r="A232">
        <v>156955735</v>
      </c>
      <c r="B232" s="1">
        <v>44837</v>
      </c>
      <c r="C232" s="1">
        <v>45109</v>
      </c>
      <c r="D232" t="s">
        <v>7</v>
      </c>
      <c r="E232">
        <v>39</v>
      </c>
      <c r="F232" t="s">
        <v>6</v>
      </c>
      <c r="G232" s="19">
        <v>272</v>
      </c>
      <c r="H232" t="s">
        <v>61</v>
      </c>
      <c r="I232">
        <v>2022</v>
      </c>
    </row>
    <row r="233" spans="1:9" x14ac:dyDescent="0.3">
      <c r="A233">
        <v>156982750</v>
      </c>
      <c r="B233" s="1">
        <v>44837</v>
      </c>
      <c r="C233" s="1">
        <v>44963</v>
      </c>
      <c r="D233" t="s">
        <v>7</v>
      </c>
      <c r="E233">
        <v>39</v>
      </c>
      <c r="F233" t="s">
        <v>6</v>
      </c>
      <c r="G233" s="19">
        <v>126</v>
      </c>
      <c r="H233" t="s">
        <v>61</v>
      </c>
      <c r="I233">
        <v>2022</v>
      </c>
    </row>
    <row r="234" spans="1:9" x14ac:dyDescent="0.3">
      <c r="A234">
        <v>156953312</v>
      </c>
      <c r="B234" s="1">
        <v>44837</v>
      </c>
      <c r="C234" s="1">
        <v>45002</v>
      </c>
      <c r="D234" t="s">
        <v>7</v>
      </c>
      <c r="E234">
        <v>39</v>
      </c>
      <c r="F234" t="s">
        <v>6</v>
      </c>
      <c r="G234" s="19">
        <v>165</v>
      </c>
      <c r="H234" t="s">
        <v>61</v>
      </c>
      <c r="I234">
        <v>2022</v>
      </c>
    </row>
    <row r="235" spans="1:9" x14ac:dyDescent="0.3">
      <c r="A235">
        <v>124642102</v>
      </c>
      <c r="B235" s="1">
        <v>44837</v>
      </c>
      <c r="C235" s="1">
        <v>44929</v>
      </c>
      <c r="D235" t="s">
        <v>7</v>
      </c>
      <c r="E235">
        <v>39</v>
      </c>
      <c r="F235" t="s">
        <v>6</v>
      </c>
      <c r="G235" s="19">
        <v>92</v>
      </c>
      <c r="H235" t="s">
        <v>61</v>
      </c>
      <c r="I235">
        <v>2022</v>
      </c>
    </row>
    <row r="236" spans="1:9" x14ac:dyDescent="0.3">
      <c r="A236">
        <v>156940530</v>
      </c>
      <c r="B236" s="1">
        <v>44837</v>
      </c>
      <c r="C236" s="1">
        <v>44936</v>
      </c>
      <c r="D236" t="s">
        <v>7</v>
      </c>
      <c r="E236">
        <v>39</v>
      </c>
      <c r="F236" t="s">
        <v>6</v>
      </c>
      <c r="G236" s="19">
        <v>99</v>
      </c>
      <c r="H236" t="s">
        <v>61</v>
      </c>
      <c r="I236">
        <v>2022</v>
      </c>
    </row>
    <row r="237" spans="1:9" x14ac:dyDescent="0.3">
      <c r="A237">
        <v>155602780</v>
      </c>
      <c r="B237" s="1">
        <v>44837</v>
      </c>
      <c r="C237" s="1">
        <v>44946</v>
      </c>
      <c r="D237" t="s">
        <v>7</v>
      </c>
      <c r="E237">
        <v>39</v>
      </c>
      <c r="F237" t="s">
        <v>6</v>
      </c>
      <c r="G237" s="19">
        <v>109</v>
      </c>
      <c r="H237" t="s">
        <v>61</v>
      </c>
      <c r="I237">
        <v>2022</v>
      </c>
    </row>
    <row r="238" spans="1:9" x14ac:dyDescent="0.3">
      <c r="A238">
        <v>149635726</v>
      </c>
      <c r="B238" s="1">
        <v>44837</v>
      </c>
      <c r="C238" s="1">
        <v>44873</v>
      </c>
      <c r="D238" t="s">
        <v>7</v>
      </c>
      <c r="E238">
        <v>39</v>
      </c>
      <c r="F238" t="s">
        <v>6</v>
      </c>
      <c r="G238" s="19">
        <v>36</v>
      </c>
      <c r="H238" t="s">
        <v>61</v>
      </c>
      <c r="I238">
        <v>2022</v>
      </c>
    </row>
    <row r="239" spans="1:9" x14ac:dyDescent="0.3">
      <c r="A239">
        <v>152660102</v>
      </c>
      <c r="B239" s="1">
        <v>44837</v>
      </c>
      <c r="C239" s="1">
        <v>44893</v>
      </c>
      <c r="D239" t="s">
        <v>7</v>
      </c>
      <c r="E239">
        <v>39</v>
      </c>
      <c r="F239" t="s">
        <v>6</v>
      </c>
      <c r="G239" s="19">
        <v>56</v>
      </c>
      <c r="H239" t="s">
        <v>61</v>
      </c>
      <c r="I239">
        <v>2022</v>
      </c>
    </row>
    <row r="240" spans="1:9" x14ac:dyDescent="0.3">
      <c r="A240">
        <v>153620734</v>
      </c>
      <c r="B240" s="1">
        <v>44837</v>
      </c>
      <c r="C240" s="1">
        <v>44894</v>
      </c>
      <c r="D240" t="s">
        <v>7</v>
      </c>
      <c r="E240">
        <v>39</v>
      </c>
      <c r="F240" t="s">
        <v>6</v>
      </c>
      <c r="G240" s="19">
        <v>57</v>
      </c>
      <c r="H240" t="s">
        <v>61</v>
      </c>
      <c r="I240">
        <v>2022</v>
      </c>
    </row>
    <row r="241" spans="1:9" x14ac:dyDescent="0.3">
      <c r="A241">
        <v>156940254</v>
      </c>
      <c r="B241" s="1">
        <v>44837</v>
      </c>
      <c r="C241" s="1">
        <v>44837</v>
      </c>
      <c r="D241" t="s">
        <v>7</v>
      </c>
      <c r="E241">
        <v>39</v>
      </c>
      <c r="F241" t="s">
        <v>6</v>
      </c>
      <c r="G241" s="19">
        <v>0</v>
      </c>
      <c r="H241" t="s">
        <v>61</v>
      </c>
      <c r="I241">
        <v>2022</v>
      </c>
    </row>
    <row r="242" spans="1:9" x14ac:dyDescent="0.3">
      <c r="A242">
        <v>156940060</v>
      </c>
      <c r="B242" s="1">
        <v>44837</v>
      </c>
      <c r="C242" s="1">
        <v>44844</v>
      </c>
      <c r="D242" t="s">
        <v>7</v>
      </c>
      <c r="E242">
        <v>39</v>
      </c>
      <c r="F242" t="s">
        <v>6</v>
      </c>
      <c r="G242" s="19">
        <v>7</v>
      </c>
      <c r="H242" t="s">
        <v>61</v>
      </c>
      <c r="I242">
        <v>2022</v>
      </c>
    </row>
    <row r="243" spans="1:9" x14ac:dyDescent="0.3">
      <c r="A243">
        <v>156938938</v>
      </c>
      <c r="B243" s="1">
        <v>44837</v>
      </c>
      <c r="C243" s="1">
        <v>44837</v>
      </c>
      <c r="D243" t="s">
        <v>7</v>
      </c>
      <c r="E243">
        <v>39</v>
      </c>
      <c r="F243" t="s">
        <v>6</v>
      </c>
      <c r="G243" s="19">
        <v>0</v>
      </c>
      <c r="H243" t="s">
        <v>61</v>
      </c>
      <c r="I243">
        <v>2022</v>
      </c>
    </row>
    <row r="244" spans="1:9" x14ac:dyDescent="0.3">
      <c r="A244">
        <v>156955272</v>
      </c>
      <c r="B244" s="1">
        <v>44838</v>
      </c>
      <c r="C244" s="1">
        <v>45037</v>
      </c>
      <c r="D244" t="s">
        <v>7</v>
      </c>
      <c r="E244">
        <v>39</v>
      </c>
      <c r="F244" t="s">
        <v>6</v>
      </c>
      <c r="G244" s="19">
        <v>199</v>
      </c>
      <c r="H244" t="s">
        <v>62</v>
      </c>
      <c r="I244">
        <v>2022</v>
      </c>
    </row>
    <row r="245" spans="1:9" x14ac:dyDescent="0.3">
      <c r="A245">
        <v>156941638</v>
      </c>
      <c r="B245" s="1">
        <v>44838</v>
      </c>
      <c r="C245" s="1">
        <v>45000</v>
      </c>
      <c r="D245" t="s">
        <v>7</v>
      </c>
      <c r="E245">
        <v>39</v>
      </c>
      <c r="F245" t="s">
        <v>6</v>
      </c>
      <c r="G245" s="19">
        <v>162</v>
      </c>
      <c r="H245" t="s">
        <v>62</v>
      </c>
      <c r="I245">
        <v>2022</v>
      </c>
    </row>
    <row r="246" spans="1:9" x14ac:dyDescent="0.3">
      <c r="A246">
        <v>157154624</v>
      </c>
      <c r="B246" s="1">
        <v>44838</v>
      </c>
      <c r="C246" s="1">
        <v>44956</v>
      </c>
      <c r="D246" t="s">
        <v>7</v>
      </c>
      <c r="E246">
        <v>39</v>
      </c>
      <c r="F246" t="s">
        <v>6</v>
      </c>
      <c r="G246" s="19">
        <v>118</v>
      </c>
      <c r="H246" t="s">
        <v>62</v>
      </c>
      <c r="I246">
        <v>2022</v>
      </c>
    </row>
    <row r="247" spans="1:9" x14ac:dyDescent="0.3">
      <c r="A247">
        <v>151677119</v>
      </c>
      <c r="B247" s="1">
        <v>44838</v>
      </c>
      <c r="C247" s="1">
        <v>44909</v>
      </c>
      <c r="D247" t="s">
        <v>7</v>
      </c>
      <c r="E247">
        <v>39</v>
      </c>
      <c r="F247" t="s">
        <v>6</v>
      </c>
      <c r="G247" s="19">
        <v>71</v>
      </c>
      <c r="H247" t="s">
        <v>62</v>
      </c>
      <c r="I247">
        <v>2022</v>
      </c>
    </row>
    <row r="248" spans="1:9" x14ac:dyDescent="0.3">
      <c r="A248">
        <v>139465940</v>
      </c>
      <c r="B248" s="1">
        <v>44838</v>
      </c>
      <c r="C248" s="1">
        <v>44870</v>
      </c>
      <c r="D248" t="s">
        <v>7</v>
      </c>
      <c r="E248">
        <v>39</v>
      </c>
      <c r="F248" t="s">
        <v>6</v>
      </c>
      <c r="G248" s="19">
        <v>32</v>
      </c>
      <c r="H248" t="s">
        <v>62</v>
      </c>
      <c r="I248">
        <v>2022</v>
      </c>
    </row>
    <row r="249" spans="1:9" x14ac:dyDescent="0.3">
      <c r="A249">
        <v>156895692</v>
      </c>
      <c r="B249" s="1">
        <v>44839</v>
      </c>
      <c r="D249" t="s">
        <v>7</v>
      </c>
      <c r="E249">
        <v>39</v>
      </c>
      <c r="F249" t="s">
        <v>6</v>
      </c>
      <c r="H249" t="s">
        <v>63</v>
      </c>
      <c r="I249">
        <v>2022</v>
      </c>
    </row>
    <row r="250" spans="1:9" x14ac:dyDescent="0.3">
      <c r="A250">
        <v>153587226</v>
      </c>
      <c r="B250" s="1">
        <v>44839</v>
      </c>
      <c r="D250" t="s">
        <v>7</v>
      </c>
      <c r="E250">
        <v>39</v>
      </c>
      <c r="F250" t="s">
        <v>6</v>
      </c>
      <c r="H250" t="s">
        <v>63</v>
      </c>
      <c r="I250">
        <v>2022</v>
      </c>
    </row>
    <row r="251" spans="1:9" x14ac:dyDescent="0.3">
      <c r="A251">
        <v>157295262</v>
      </c>
      <c r="B251" s="1">
        <v>44839</v>
      </c>
      <c r="C251" s="1">
        <v>45019</v>
      </c>
      <c r="D251" t="s">
        <v>7</v>
      </c>
      <c r="E251">
        <v>39</v>
      </c>
      <c r="F251" t="s">
        <v>6</v>
      </c>
      <c r="G251" s="19">
        <v>180</v>
      </c>
      <c r="H251" t="s">
        <v>63</v>
      </c>
      <c r="I251">
        <v>2022</v>
      </c>
    </row>
    <row r="252" spans="1:9" x14ac:dyDescent="0.3">
      <c r="A252">
        <v>157284386</v>
      </c>
      <c r="B252" s="1">
        <v>44839</v>
      </c>
      <c r="C252" s="1">
        <v>45018</v>
      </c>
      <c r="D252" t="s">
        <v>7</v>
      </c>
      <c r="E252">
        <v>39</v>
      </c>
      <c r="F252" t="s">
        <v>6</v>
      </c>
      <c r="G252" s="19">
        <v>179</v>
      </c>
      <c r="H252" t="s">
        <v>63</v>
      </c>
      <c r="I252">
        <v>2022</v>
      </c>
    </row>
    <row r="253" spans="1:9" x14ac:dyDescent="0.3">
      <c r="A253">
        <v>148762867</v>
      </c>
      <c r="B253" s="1">
        <v>44839</v>
      </c>
      <c r="C253" s="1">
        <v>45100</v>
      </c>
      <c r="D253" t="s">
        <v>7</v>
      </c>
      <c r="E253">
        <v>39</v>
      </c>
      <c r="F253" t="s">
        <v>6</v>
      </c>
      <c r="G253" s="19">
        <v>261</v>
      </c>
      <c r="H253" t="s">
        <v>63</v>
      </c>
      <c r="I253">
        <v>2022</v>
      </c>
    </row>
    <row r="254" spans="1:9" x14ac:dyDescent="0.3">
      <c r="A254">
        <v>150433978</v>
      </c>
      <c r="B254" s="1">
        <v>44839</v>
      </c>
      <c r="C254" s="1">
        <v>44870</v>
      </c>
      <c r="D254" t="s">
        <v>7</v>
      </c>
      <c r="E254">
        <v>39</v>
      </c>
      <c r="F254" t="s">
        <v>6</v>
      </c>
      <c r="G254" s="19">
        <v>31</v>
      </c>
      <c r="H254" t="s">
        <v>63</v>
      </c>
      <c r="I254">
        <v>2022</v>
      </c>
    </row>
    <row r="255" spans="1:9" x14ac:dyDescent="0.3">
      <c r="A255">
        <v>157272487</v>
      </c>
      <c r="B255" s="1">
        <v>44839</v>
      </c>
      <c r="C255" s="1">
        <v>44902</v>
      </c>
      <c r="D255" t="s">
        <v>7</v>
      </c>
      <c r="E255">
        <v>39</v>
      </c>
      <c r="F255" t="s">
        <v>6</v>
      </c>
      <c r="G255" s="19">
        <v>63</v>
      </c>
      <c r="H255" t="s">
        <v>63</v>
      </c>
      <c r="I255">
        <v>2022</v>
      </c>
    </row>
    <row r="256" spans="1:9" x14ac:dyDescent="0.3">
      <c r="A256">
        <v>153776370</v>
      </c>
      <c r="B256" s="1">
        <v>44840</v>
      </c>
      <c r="C256" s="1">
        <v>44901</v>
      </c>
      <c r="D256" t="s">
        <v>7</v>
      </c>
      <c r="E256">
        <v>39</v>
      </c>
      <c r="F256" t="s">
        <v>6</v>
      </c>
      <c r="G256" s="19">
        <v>61</v>
      </c>
      <c r="H256" t="s">
        <v>64</v>
      </c>
      <c r="I256">
        <v>2022</v>
      </c>
    </row>
    <row r="257" spans="1:9" x14ac:dyDescent="0.3">
      <c r="A257">
        <v>157371444</v>
      </c>
      <c r="B257" s="1">
        <v>44840</v>
      </c>
      <c r="C257" s="1">
        <v>44903</v>
      </c>
      <c r="D257" t="s">
        <v>7</v>
      </c>
      <c r="E257">
        <v>39</v>
      </c>
      <c r="F257" t="s">
        <v>6</v>
      </c>
      <c r="G257" s="19">
        <v>63</v>
      </c>
      <c r="H257" t="s">
        <v>64</v>
      </c>
      <c r="I257">
        <v>2022</v>
      </c>
    </row>
    <row r="258" spans="1:9" x14ac:dyDescent="0.3">
      <c r="A258">
        <v>157095464</v>
      </c>
      <c r="B258" s="1">
        <v>44840</v>
      </c>
      <c r="C258" s="1">
        <v>45120</v>
      </c>
      <c r="D258" t="s">
        <v>7</v>
      </c>
      <c r="E258">
        <v>39</v>
      </c>
      <c r="F258" t="s">
        <v>6</v>
      </c>
      <c r="G258" s="19">
        <v>280</v>
      </c>
      <c r="H258" t="s">
        <v>64</v>
      </c>
      <c r="I258">
        <v>2022</v>
      </c>
    </row>
    <row r="259" spans="1:9" x14ac:dyDescent="0.3">
      <c r="A259">
        <v>153554190</v>
      </c>
      <c r="B259" s="1">
        <v>44841</v>
      </c>
      <c r="D259" t="s">
        <v>7</v>
      </c>
      <c r="E259">
        <v>39</v>
      </c>
      <c r="F259" t="s">
        <v>6</v>
      </c>
      <c r="H259" t="s">
        <v>65</v>
      </c>
      <c r="I259">
        <v>2022</v>
      </c>
    </row>
    <row r="260" spans="1:9" x14ac:dyDescent="0.3">
      <c r="A260">
        <v>157411994</v>
      </c>
      <c r="B260" s="1">
        <v>44841</v>
      </c>
      <c r="D260" t="s">
        <v>7</v>
      </c>
      <c r="E260">
        <v>39</v>
      </c>
      <c r="F260" t="s">
        <v>6</v>
      </c>
      <c r="H260" t="s">
        <v>65</v>
      </c>
      <c r="I260">
        <v>2022</v>
      </c>
    </row>
    <row r="261" spans="1:9" x14ac:dyDescent="0.3">
      <c r="A261">
        <v>157374056</v>
      </c>
      <c r="B261" s="1">
        <v>44841</v>
      </c>
      <c r="C261" s="1">
        <v>44872</v>
      </c>
      <c r="D261" t="s">
        <v>7</v>
      </c>
      <c r="E261">
        <v>39</v>
      </c>
      <c r="F261" t="s">
        <v>6</v>
      </c>
      <c r="G261" s="19">
        <v>31</v>
      </c>
      <c r="H261" t="s">
        <v>65</v>
      </c>
      <c r="I261">
        <v>2022</v>
      </c>
    </row>
    <row r="262" spans="1:9" x14ac:dyDescent="0.3">
      <c r="A262">
        <v>157397941</v>
      </c>
      <c r="B262" s="1">
        <v>44841</v>
      </c>
      <c r="C262" s="1">
        <v>44868</v>
      </c>
      <c r="D262" t="s">
        <v>7</v>
      </c>
      <c r="E262">
        <v>39</v>
      </c>
      <c r="F262" t="s">
        <v>6</v>
      </c>
      <c r="G262" s="19">
        <v>27</v>
      </c>
      <c r="H262" t="s">
        <v>65</v>
      </c>
      <c r="I262">
        <v>2022</v>
      </c>
    </row>
    <row r="263" spans="1:9" x14ac:dyDescent="0.3">
      <c r="A263">
        <v>157234944</v>
      </c>
      <c r="B263" s="1">
        <v>44841</v>
      </c>
      <c r="C263" s="1">
        <v>44858</v>
      </c>
      <c r="D263" t="s">
        <v>7</v>
      </c>
      <c r="E263">
        <v>39</v>
      </c>
      <c r="F263" t="s">
        <v>6</v>
      </c>
      <c r="G263" s="19">
        <v>17</v>
      </c>
      <c r="H263" t="s">
        <v>65</v>
      </c>
      <c r="I263">
        <v>2022</v>
      </c>
    </row>
    <row r="264" spans="1:9" x14ac:dyDescent="0.3">
      <c r="A264">
        <v>157490039</v>
      </c>
      <c r="B264" s="1">
        <v>44842</v>
      </c>
      <c r="C264" s="1">
        <v>45000</v>
      </c>
      <c r="D264" t="s">
        <v>7</v>
      </c>
      <c r="E264">
        <v>39</v>
      </c>
      <c r="F264" t="s">
        <v>6</v>
      </c>
      <c r="G264" s="19">
        <v>158</v>
      </c>
      <c r="H264" t="s">
        <v>66</v>
      </c>
      <c r="I264">
        <v>2022</v>
      </c>
    </row>
    <row r="265" spans="1:9" x14ac:dyDescent="0.3">
      <c r="A265">
        <v>157484010</v>
      </c>
      <c r="B265" s="1">
        <v>44842</v>
      </c>
      <c r="C265" s="1">
        <v>45000</v>
      </c>
      <c r="D265" t="s">
        <v>7</v>
      </c>
      <c r="E265">
        <v>39</v>
      </c>
      <c r="F265" t="s">
        <v>6</v>
      </c>
      <c r="G265" s="19">
        <v>158</v>
      </c>
      <c r="H265" t="s">
        <v>66</v>
      </c>
      <c r="I265">
        <v>2022</v>
      </c>
    </row>
    <row r="266" spans="1:9" x14ac:dyDescent="0.3">
      <c r="A266">
        <v>125038257</v>
      </c>
      <c r="B266" s="1">
        <v>44842</v>
      </c>
      <c r="C266" s="1">
        <v>44882</v>
      </c>
      <c r="D266" t="s">
        <v>7</v>
      </c>
      <c r="E266">
        <v>39</v>
      </c>
      <c r="F266" t="s">
        <v>6</v>
      </c>
      <c r="G266" s="19">
        <v>40</v>
      </c>
      <c r="H266" t="s">
        <v>66</v>
      </c>
      <c r="I266">
        <v>2022</v>
      </c>
    </row>
    <row r="267" spans="1:9" x14ac:dyDescent="0.3">
      <c r="A267">
        <v>157400730</v>
      </c>
      <c r="B267" s="1">
        <v>44842</v>
      </c>
      <c r="C267" s="1">
        <v>44860</v>
      </c>
      <c r="D267" t="s">
        <v>7</v>
      </c>
      <c r="E267">
        <v>39</v>
      </c>
      <c r="F267" t="s">
        <v>6</v>
      </c>
      <c r="G267" s="19">
        <v>18</v>
      </c>
      <c r="H267" t="s">
        <v>66</v>
      </c>
      <c r="I267">
        <v>2022</v>
      </c>
    </row>
    <row r="268" spans="1:9" x14ac:dyDescent="0.3">
      <c r="A268">
        <v>157450645</v>
      </c>
      <c r="B268" s="1">
        <v>44842</v>
      </c>
      <c r="C268" s="1">
        <v>44852</v>
      </c>
      <c r="D268" t="s">
        <v>7</v>
      </c>
      <c r="E268">
        <v>39</v>
      </c>
      <c r="F268" t="s">
        <v>6</v>
      </c>
      <c r="G268" s="19">
        <v>10</v>
      </c>
      <c r="H268" t="s">
        <v>66</v>
      </c>
      <c r="I268">
        <v>2022</v>
      </c>
    </row>
    <row r="269" spans="1:9" x14ac:dyDescent="0.3">
      <c r="A269">
        <v>156943008</v>
      </c>
      <c r="B269" s="1">
        <v>44843</v>
      </c>
      <c r="C269" s="1">
        <v>44844</v>
      </c>
      <c r="D269" t="s">
        <v>7</v>
      </c>
      <c r="E269">
        <v>39</v>
      </c>
      <c r="F269" t="s">
        <v>6</v>
      </c>
      <c r="G269" s="19">
        <v>1</v>
      </c>
      <c r="H269" t="s">
        <v>60</v>
      </c>
      <c r="I269">
        <v>2022</v>
      </c>
    </row>
    <row r="270" spans="1:9" x14ac:dyDescent="0.3">
      <c r="A270">
        <v>127328047</v>
      </c>
      <c r="B270" s="1">
        <v>44843</v>
      </c>
      <c r="C270" s="1">
        <v>44942</v>
      </c>
      <c r="D270" t="s">
        <v>7</v>
      </c>
      <c r="E270">
        <v>39</v>
      </c>
      <c r="F270" t="s">
        <v>6</v>
      </c>
      <c r="G270" s="19">
        <v>99</v>
      </c>
      <c r="H270" t="s">
        <v>60</v>
      </c>
      <c r="I270">
        <v>2022</v>
      </c>
    </row>
    <row r="271" spans="1:9" x14ac:dyDescent="0.3">
      <c r="A271">
        <v>157506842</v>
      </c>
      <c r="B271" s="1">
        <v>44843</v>
      </c>
      <c r="C271" s="1">
        <v>44880</v>
      </c>
      <c r="D271" t="s">
        <v>7</v>
      </c>
      <c r="E271">
        <v>39</v>
      </c>
      <c r="F271" t="s">
        <v>6</v>
      </c>
      <c r="G271" s="19">
        <v>37</v>
      </c>
      <c r="H271" t="s">
        <v>60</v>
      </c>
      <c r="I271">
        <v>2022</v>
      </c>
    </row>
    <row r="272" spans="1:9" x14ac:dyDescent="0.3">
      <c r="A272">
        <v>150924853</v>
      </c>
      <c r="B272" s="1">
        <v>44843</v>
      </c>
      <c r="C272" s="1">
        <v>44888</v>
      </c>
      <c r="D272" t="s">
        <v>7</v>
      </c>
      <c r="E272">
        <v>39</v>
      </c>
      <c r="F272" t="s">
        <v>6</v>
      </c>
      <c r="G272" s="19">
        <v>45</v>
      </c>
      <c r="H272" t="s">
        <v>60</v>
      </c>
      <c r="I272">
        <v>2022</v>
      </c>
    </row>
    <row r="273" spans="1:9" x14ac:dyDescent="0.3">
      <c r="A273">
        <v>156996568</v>
      </c>
      <c r="B273" s="1">
        <v>44844</v>
      </c>
      <c r="D273" t="s">
        <v>7</v>
      </c>
      <c r="E273">
        <v>39</v>
      </c>
      <c r="F273" t="s">
        <v>6</v>
      </c>
      <c r="H273" t="s">
        <v>61</v>
      </c>
      <c r="I273">
        <v>2022</v>
      </c>
    </row>
    <row r="274" spans="1:9" x14ac:dyDescent="0.3">
      <c r="A274">
        <v>157627904</v>
      </c>
      <c r="B274" s="1">
        <v>44844</v>
      </c>
      <c r="C274" s="1">
        <v>44937</v>
      </c>
      <c r="D274" t="s">
        <v>7</v>
      </c>
      <c r="E274">
        <v>39</v>
      </c>
      <c r="F274" t="s">
        <v>6</v>
      </c>
      <c r="G274" s="19">
        <v>93</v>
      </c>
      <c r="H274" t="s">
        <v>61</v>
      </c>
      <c r="I274">
        <v>2022</v>
      </c>
    </row>
    <row r="275" spans="1:9" x14ac:dyDescent="0.3">
      <c r="A275">
        <v>157058101</v>
      </c>
      <c r="B275" s="1">
        <v>44844</v>
      </c>
      <c r="C275" s="1">
        <v>44874</v>
      </c>
      <c r="D275" t="s">
        <v>7</v>
      </c>
      <c r="E275">
        <v>39</v>
      </c>
      <c r="F275" t="s">
        <v>6</v>
      </c>
      <c r="G275" s="19">
        <v>30</v>
      </c>
      <c r="H275" t="s">
        <v>61</v>
      </c>
      <c r="I275">
        <v>2022</v>
      </c>
    </row>
    <row r="276" spans="1:9" x14ac:dyDescent="0.3">
      <c r="A276">
        <v>157394598</v>
      </c>
      <c r="B276" s="1">
        <v>44845</v>
      </c>
      <c r="C276" s="1">
        <v>44846</v>
      </c>
      <c r="D276" t="s">
        <v>8</v>
      </c>
      <c r="E276">
        <v>39</v>
      </c>
      <c r="F276" t="s">
        <v>6</v>
      </c>
      <c r="G276" s="19">
        <v>1</v>
      </c>
      <c r="H276" t="s">
        <v>62</v>
      </c>
      <c r="I276">
        <v>2022</v>
      </c>
    </row>
    <row r="277" spans="1:9" x14ac:dyDescent="0.3">
      <c r="A277">
        <v>157765918</v>
      </c>
      <c r="B277" s="1">
        <v>44845</v>
      </c>
      <c r="C277" s="1">
        <v>44846</v>
      </c>
      <c r="D277" t="s">
        <v>8</v>
      </c>
      <c r="E277">
        <v>39</v>
      </c>
      <c r="F277" t="s">
        <v>6</v>
      </c>
      <c r="G277" s="19">
        <v>1</v>
      </c>
      <c r="H277" t="s">
        <v>62</v>
      </c>
      <c r="I277">
        <v>2022</v>
      </c>
    </row>
    <row r="278" spans="1:9" x14ac:dyDescent="0.3">
      <c r="A278">
        <v>157746458</v>
      </c>
      <c r="B278" s="1">
        <v>44845</v>
      </c>
      <c r="C278" s="1">
        <v>45041</v>
      </c>
      <c r="D278" t="s">
        <v>7</v>
      </c>
      <c r="E278">
        <v>39</v>
      </c>
      <c r="F278" t="s">
        <v>6</v>
      </c>
      <c r="G278" s="19">
        <v>196</v>
      </c>
      <c r="H278" t="s">
        <v>62</v>
      </c>
      <c r="I278">
        <v>2022</v>
      </c>
    </row>
    <row r="279" spans="1:9" x14ac:dyDescent="0.3">
      <c r="A279">
        <v>157590918</v>
      </c>
      <c r="B279" s="1">
        <v>44845</v>
      </c>
      <c r="C279" s="1">
        <v>44969</v>
      </c>
      <c r="D279" t="s">
        <v>7</v>
      </c>
      <c r="E279">
        <v>39</v>
      </c>
      <c r="F279" t="s">
        <v>6</v>
      </c>
      <c r="G279" s="19">
        <v>124</v>
      </c>
      <c r="H279" t="s">
        <v>62</v>
      </c>
      <c r="I279">
        <v>2022</v>
      </c>
    </row>
    <row r="280" spans="1:9" x14ac:dyDescent="0.3">
      <c r="A280">
        <v>157290992</v>
      </c>
      <c r="B280" s="1">
        <v>44845</v>
      </c>
      <c r="C280" s="1">
        <v>44936</v>
      </c>
      <c r="D280" t="s">
        <v>7</v>
      </c>
      <c r="E280">
        <v>39</v>
      </c>
      <c r="F280" t="s">
        <v>6</v>
      </c>
      <c r="G280" s="19">
        <v>91</v>
      </c>
      <c r="H280" t="s">
        <v>62</v>
      </c>
      <c r="I280">
        <v>2022</v>
      </c>
    </row>
    <row r="281" spans="1:9" x14ac:dyDescent="0.3">
      <c r="A281">
        <v>156895701</v>
      </c>
      <c r="B281" s="1">
        <v>44845</v>
      </c>
      <c r="C281" s="1">
        <v>44913</v>
      </c>
      <c r="D281" t="s">
        <v>7</v>
      </c>
      <c r="E281">
        <v>39</v>
      </c>
      <c r="F281" t="s">
        <v>6</v>
      </c>
      <c r="G281" s="19">
        <v>68</v>
      </c>
      <c r="H281" t="s">
        <v>62</v>
      </c>
      <c r="I281">
        <v>2022</v>
      </c>
    </row>
    <row r="282" spans="1:9" x14ac:dyDescent="0.3">
      <c r="A282">
        <v>155926313</v>
      </c>
      <c r="B282" s="1">
        <v>44845</v>
      </c>
      <c r="C282" s="1">
        <v>44893</v>
      </c>
      <c r="D282" t="s">
        <v>7</v>
      </c>
      <c r="E282">
        <v>39</v>
      </c>
      <c r="F282" t="s">
        <v>6</v>
      </c>
      <c r="G282" s="19">
        <v>48</v>
      </c>
      <c r="H282" t="s">
        <v>62</v>
      </c>
      <c r="I282">
        <v>2022</v>
      </c>
    </row>
    <row r="283" spans="1:9" x14ac:dyDescent="0.3">
      <c r="A283">
        <v>156110000</v>
      </c>
      <c r="B283" s="1">
        <v>44845</v>
      </c>
      <c r="C283" s="1">
        <v>44881</v>
      </c>
      <c r="D283" t="s">
        <v>7</v>
      </c>
      <c r="E283">
        <v>39</v>
      </c>
      <c r="F283" t="s">
        <v>6</v>
      </c>
      <c r="G283" s="19">
        <v>36</v>
      </c>
      <c r="H283" t="s">
        <v>62</v>
      </c>
      <c r="I283">
        <v>2022</v>
      </c>
    </row>
    <row r="284" spans="1:9" x14ac:dyDescent="0.3">
      <c r="A284">
        <v>157851493</v>
      </c>
      <c r="B284" s="1">
        <v>44846</v>
      </c>
      <c r="C284" s="1">
        <v>45020</v>
      </c>
      <c r="D284" t="s">
        <v>7</v>
      </c>
      <c r="E284">
        <v>39</v>
      </c>
      <c r="F284" t="s">
        <v>6</v>
      </c>
      <c r="G284" s="19">
        <v>174</v>
      </c>
      <c r="H284" t="s">
        <v>63</v>
      </c>
      <c r="I284">
        <v>2022</v>
      </c>
    </row>
    <row r="285" spans="1:9" x14ac:dyDescent="0.3">
      <c r="A285">
        <v>157792408</v>
      </c>
      <c r="B285" s="1">
        <v>44846</v>
      </c>
      <c r="C285" s="1">
        <v>45087</v>
      </c>
      <c r="D285" t="s">
        <v>7</v>
      </c>
      <c r="E285">
        <v>39</v>
      </c>
      <c r="F285" t="s">
        <v>6</v>
      </c>
      <c r="G285" s="19">
        <v>241</v>
      </c>
      <c r="H285" t="s">
        <v>63</v>
      </c>
      <c r="I285">
        <v>2022</v>
      </c>
    </row>
    <row r="286" spans="1:9" x14ac:dyDescent="0.3">
      <c r="A286">
        <v>157868778</v>
      </c>
      <c r="B286" s="1">
        <v>44846</v>
      </c>
      <c r="C286" s="1">
        <v>44872</v>
      </c>
      <c r="D286" t="s">
        <v>7</v>
      </c>
      <c r="E286">
        <v>39</v>
      </c>
      <c r="F286" t="s">
        <v>6</v>
      </c>
      <c r="G286" s="19">
        <v>26</v>
      </c>
      <c r="H286" t="s">
        <v>63</v>
      </c>
      <c r="I286">
        <v>2022</v>
      </c>
    </row>
    <row r="287" spans="1:9" x14ac:dyDescent="0.3">
      <c r="A287">
        <v>157833252</v>
      </c>
      <c r="B287" s="1">
        <v>44846</v>
      </c>
      <c r="C287" s="1">
        <v>44857</v>
      </c>
      <c r="D287" t="s">
        <v>7</v>
      </c>
      <c r="E287">
        <v>39</v>
      </c>
      <c r="F287" t="s">
        <v>6</v>
      </c>
      <c r="G287" s="19">
        <v>11</v>
      </c>
      <c r="H287" t="s">
        <v>63</v>
      </c>
      <c r="I287">
        <v>2022</v>
      </c>
    </row>
    <row r="288" spans="1:9" x14ac:dyDescent="0.3">
      <c r="A288">
        <v>149662340</v>
      </c>
      <c r="B288" s="1">
        <v>44847</v>
      </c>
      <c r="D288" t="s">
        <v>7</v>
      </c>
      <c r="E288">
        <v>39</v>
      </c>
      <c r="F288" t="s">
        <v>6</v>
      </c>
      <c r="H288" t="s">
        <v>64</v>
      </c>
      <c r="I288">
        <v>2022</v>
      </c>
    </row>
    <row r="289" spans="1:9" x14ac:dyDescent="0.3">
      <c r="A289">
        <v>126918448</v>
      </c>
      <c r="B289" s="1">
        <v>44847</v>
      </c>
      <c r="D289" t="s">
        <v>7</v>
      </c>
      <c r="E289">
        <v>39</v>
      </c>
      <c r="F289" t="s">
        <v>6</v>
      </c>
      <c r="H289" t="s">
        <v>64</v>
      </c>
      <c r="I289">
        <v>2022</v>
      </c>
    </row>
    <row r="290" spans="1:9" x14ac:dyDescent="0.3">
      <c r="A290">
        <v>136897370</v>
      </c>
      <c r="B290" s="1">
        <v>44847</v>
      </c>
      <c r="C290" s="1">
        <v>44943</v>
      </c>
      <c r="D290" t="s">
        <v>7</v>
      </c>
      <c r="E290">
        <v>39</v>
      </c>
      <c r="F290" t="s">
        <v>6</v>
      </c>
      <c r="G290" s="19">
        <v>96</v>
      </c>
      <c r="H290" t="s">
        <v>64</v>
      </c>
      <c r="I290">
        <v>2022</v>
      </c>
    </row>
    <row r="291" spans="1:9" x14ac:dyDescent="0.3">
      <c r="A291">
        <v>157921307</v>
      </c>
      <c r="B291" s="1">
        <v>44847</v>
      </c>
      <c r="C291" s="1">
        <v>45076</v>
      </c>
      <c r="D291" t="s">
        <v>7</v>
      </c>
      <c r="E291">
        <v>39</v>
      </c>
      <c r="F291" t="s">
        <v>6</v>
      </c>
      <c r="G291" s="19">
        <v>229</v>
      </c>
      <c r="H291" t="s">
        <v>64</v>
      </c>
      <c r="I291">
        <v>2022</v>
      </c>
    </row>
    <row r="292" spans="1:9" x14ac:dyDescent="0.3">
      <c r="A292">
        <v>157905868</v>
      </c>
      <c r="B292" s="1">
        <v>44847</v>
      </c>
      <c r="C292" s="1">
        <v>44963</v>
      </c>
      <c r="D292" t="s">
        <v>7</v>
      </c>
      <c r="E292">
        <v>39</v>
      </c>
      <c r="F292" t="s">
        <v>6</v>
      </c>
      <c r="G292" s="19">
        <v>116</v>
      </c>
      <c r="H292" t="s">
        <v>64</v>
      </c>
      <c r="I292">
        <v>2022</v>
      </c>
    </row>
    <row r="293" spans="1:9" x14ac:dyDescent="0.3">
      <c r="A293">
        <v>152377785</v>
      </c>
      <c r="B293" s="1">
        <v>44847</v>
      </c>
      <c r="C293" s="1">
        <v>44937</v>
      </c>
      <c r="D293" t="s">
        <v>7</v>
      </c>
      <c r="E293">
        <v>39</v>
      </c>
      <c r="F293" t="s">
        <v>6</v>
      </c>
      <c r="G293" s="19">
        <v>90</v>
      </c>
      <c r="H293" t="s">
        <v>64</v>
      </c>
      <c r="I293">
        <v>2022</v>
      </c>
    </row>
    <row r="294" spans="1:9" x14ac:dyDescent="0.3">
      <c r="A294">
        <v>157567612</v>
      </c>
      <c r="B294" s="1">
        <v>44847</v>
      </c>
      <c r="C294" s="1">
        <v>44868</v>
      </c>
      <c r="D294" t="s">
        <v>7</v>
      </c>
      <c r="E294">
        <v>39</v>
      </c>
      <c r="F294" t="s">
        <v>6</v>
      </c>
      <c r="G294" s="19">
        <v>21</v>
      </c>
      <c r="H294" t="s">
        <v>64</v>
      </c>
      <c r="I294">
        <v>2022</v>
      </c>
    </row>
    <row r="295" spans="1:9" x14ac:dyDescent="0.3">
      <c r="A295">
        <v>157993772</v>
      </c>
      <c r="B295" s="1">
        <v>44849</v>
      </c>
      <c r="C295" s="1">
        <v>44849</v>
      </c>
      <c r="D295" t="s">
        <v>8</v>
      </c>
      <c r="E295">
        <v>39</v>
      </c>
      <c r="F295" t="s">
        <v>6</v>
      </c>
      <c r="G295" s="19">
        <v>0</v>
      </c>
      <c r="H295" t="s">
        <v>66</v>
      </c>
      <c r="I295">
        <v>2022</v>
      </c>
    </row>
    <row r="296" spans="1:9" x14ac:dyDescent="0.3">
      <c r="A296">
        <v>148769034</v>
      </c>
      <c r="B296" s="1">
        <v>44849</v>
      </c>
      <c r="C296" s="1">
        <v>44998</v>
      </c>
      <c r="D296" t="s">
        <v>7</v>
      </c>
      <c r="E296">
        <v>39</v>
      </c>
      <c r="F296" t="s">
        <v>6</v>
      </c>
      <c r="G296" s="19">
        <v>149</v>
      </c>
      <c r="H296" t="s">
        <v>66</v>
      </c>
      <c r="I296">
        <v>2022</v>
      </c>
    </row>
    <row r="297" spans="1:9" x14ac:dyDescent="0.3">
      <c r="A297">
        <v>158050283</v>
      </c>
      <c r="B297" s="1">
        <v>44849</v>
      </c>
      <c r="C297" s="1">
        <v>45114</v>
      </c>
      <c r="D297" t="s">
        <v>7</v>
      </c>
      <c r="E297">
        <v>39</v>
      </c>
      <c r="F297" t="s">
        <v>6</v>
      </c>
      <c r="G297" s="19">
        <v>265</v>
      </c>
      <c r="H297" t="s">
        <v>66</v>
      </c>
      <c r="I297">
        <v>2022</v>
      </c>
    </row>
    <row r="298" spans="1:9" x14ac:dyDescent="0.3">
      <c r="A298">
        <v>157436507</v>
      </c>
      <c r="B298" s="1">
        <v>44850</v>
      </c>
      <c r="D298" t="s">
        <v>7</v>
      </c>
      <c r="E298">
        <v>39</v>
      </c>
      <c r="F298" t="s">
        <v>6</v>
      </c>
      <c r="H298" t="s">
        <v>60</v>
      </c>
      <c r="I298">
        <v>2022</v>
      </c>
    </row>
    <row r="299" spans="1:9" x14ac:dyDescent="0.3">
      <c r="A299">
        <v>123808301</v>
      </c>
      <c r="B299" s="1">
        <v>44850</v>
      </c>
      <c r="C299" s="1">
        <v>44861</v>
      </c>
      <c r="D299" t="s">
        <v>7</v>
      </c>
      <c r="E299">
        <v>39</v>
      </c>
      <c r="F299" t="s">
        <v>6</v>
      </c>
      <c r="G299" s="19">
        <v>11</v>
      </c>
      <c r="H299" t="s">
        <v>60</v>
      </c>
      <c r="I299">
        <v>2022</v>
      </c>
    </row>
    <row r="300" spans="1:9" x14ac:dyDescent="0.3">
      <c r="A300">
        <v>158033452</v>
      </c>
      <c r="B300" s="1">
        <v>44850</v>
      </c>
      <c r="C300" s="1">
        <v>44987</v>
      </c>
      <c r="D300" t="s">
        <v>7</v>
      </c>
      <c r="E300">
        <v>39</v>
      </c>
      <c r="F300" t="s">
        <v>6</v>
      </c>
      <c r="G300" s="19">
        <v>137</v>
      </c>
      <c r="H300" t="s">
        <v>60</v>
      </c>
      <c r="I300">
        <v>2022</v>
      </c>
    </row>
    <row r="301" spans="1:9" x14ac:dyDescent="0.3">
      <c r="A301">
        <v>156796659</v>
      </c>
      <c r="B301" s="1">
        <v>44850</v>
      </c>
      <c r="C301" s="1">
        <v>44994</v>
      </c>
      <c r="D301" t="s">
        <v>7</v>
      </c>
      <c r="E301">
        <v>39</v>
      </c>
      <c r="F301" t="s">
        <v>6</v>
      </c>
      <c r="G301" s="19">
        <v>144</v>
      </c>
      <c r="H301" t="s">
        <v>60</v>
      </c>
      <c r="I301">
        <v>2022</v>
      </c>
    </row>
    <row r="302" spans="1:9" x14ac:dyDescent="0.3">
      <c r="A302">
        <v>158093021</v>
      </c>
      <c r="B302" s="1">
        <v>44850</v>
      </c>
      <c r="C302" s="1">
        <v>44922</v>
      </c>
      <c r="D302" t="s">
        <v>7</v>
      </c>
      <c r="E302">
        <v>39</v>
      </c>
      <c r="F302" t="s">
        <v>6</v>
      </c>
      <c r="G302" s="19">
        <v>72</v>
      </c>
      <c r="H302" t="s">
        <v>60</v>
      </c>
      <c r="I302">
        <v>2022</v>
      </c>
    </row>
    <row r="303" spans="1:9" x14ac:dyDescent="0.3">
      <c r="A303">
        <v>157900412</v>
      </c>
      <c r="B303" s="1">
        <v>44850</v>
      </c>
      <c r="C303" s="1">
        <v>44874</v>
      </c>
      <c r="D303" t="s">
        <v>7</v>
      </c>
      <c r="E303">
        <v>39</v>
      </c>
      <c r="F303" t="s">
        <v>6</v>
      </c>
      <c r="G303" s="19">
        <v>24</v>
      </c>
      <c r="H303" t="s">
        <v>60</v>
      </c>
      <c r="I303">
        <v>2022</v>
      </c>
    </row>
    <row r="304" spans="1:9" x14ac:dyDescent="0.3">
      <c r="A304">
        <v>152892719</v>
      </c>
      <c r="B304" s="1">
        <v>44850</v>
      </c>
      <c r="C304" s="1">
        <v>44850</v>
      </c>
      <c r="D304" t="s">
        <v>7</v>
      </c>
      <c r="E304">
        <v>39</v>
      </c>
      <c r="F304" t="s">
        <v>6</v>
      </c>
      <c r="G304" s="19">
        <v>0</v>
      </c>
      <c r="H304" t="s">
        <v>60</v>
      </c>
      <c r="I304">
        <v>2022</v>
      </c>
    </row>
    <row r="305" spans="1:9" x14ac:dyDescent="0.3">
      <c r="A305">
        <v>158009130</v>
      </c>
      <c r="B305" s="1">
        <v>44851</v>
      </c>
      <c r="D305" t="s">
        <v>7</v>
      </c>
      <c r="E305">
        <v>39</v>
      </c>
      <c r="F305" t="s">
        <v>6</v>
      </c>
      <c r="H305" t="s">
        <v>61</v>
      </c>
      <c r="I305">
        <v>2022</v>
      </c>
    </row>
    <row r="306" spans="1:9" x14ac:dyDescent="0.3">
      <c r="A306">
        <v>157904656</v>
      </c>
      <c r="B306" s="1">
        <v>44851</v>
      </c>
      <c r="C306" s="1">
        <v>44910</v>
      </c>
      <c r="D306" t="s">
        <v>7</v>
      </c>
      <c r="E306">
        <v>39</v>
      </c>
      <c r="F306" t="s">
        <v>6</v>
      </c>
      <c r="G306" s="19">
        <v>59</v>
      </c>
      <c r="H306" t="s">
        <v>61</v>
      </c>
      <c r="I306">
        <v>2022</v>
      </c>
    </row>
    <row r="307" spans="1:9" x14ac:dyDescent="0.3">
      <c r="A307">
        <v>157838980</v>
      </c>
      <c r="B307" s="1">
        <v>44851</v>
      </c>
      <c r="C307" s="1">
        <v>44973</v>
      </c>
      <c r="D307" t="s">
        <v>7</v>
      </c>
      <c r="E307">
        <v>39</v>
      </c>
      <c r="F307" t="s">
        <v>6</v>
      </c>
      <c r="G307" s="19">
        <v>122</v>
      </c>
      <c r="H307" t="s">
        <v>61</v>
      </c>
      <c r="I307">
        <v>2022</v>
      </c>
    </row>
    <row r="308" spans="1:9" x14ac:dyDescent="0.3">
      <c r="A308">
        <v>123402996</v>
      </c>
      <c r="B308" s="1">
        <v>44851</v>
      </c>
      <c r="C308" s="1">
        <v>44930</v>
      </c>
      <c r="D308" t="s">
        <v>7</v>
      </c>
      <c r="E308">
        <v>39</v>
      </c>
      <c r="F308" t="s">
        <v>6</v>
      </c>
      <c r="G308" s="19">
        <v>79</v>
      </c>
      <c r="H308" t="s">
        <v>61</v>
      </c>
      <c r="I308">
        <v>2022</v>
      </c>
    </row>
    <row r="309" spans="1:9" x14ac:dyDescent="0.3">
      <c r="A309">
        <v>158112356</v>
      </c>
      <c r="B309" s="1">
        <v>44851</v>
      </c>
      <c r="C309" s="1">
        <v>44925</v>
      </c>
      <c r="D309" t="s">
        <v>7</v>
      </c>
      <c r="E309">
        <v>39</v>
      </c>
      <c r="F309" t="s">
        <v>6</v>
      </c>
      <c r="G309" s="19">
        <v>74</v>
      </c>
      <c r="H309" t="s">
        <v>61</v>
      </c>
      <c r="I309">
        <v>2022</v>
      </c>
    </row>
    <row r="310" spans="1:9" x14ac:dyDescent="0.3">
      <c r="A310">
        <v>152410420</v>
      </c>
      <c r="B310" s="1">
        <v>44851</v>
      </c>
      <c r="C310" s="1">
        <v>44883</v>
      </c>
      <c r="D310" t="s">
        <v>7</v>
      </c>
      <c r="E310">
        <v>39</v>
      </c>
      <c r="F310" t="s">
        <v>6</v>
      </c>
      <c r="G310" s="19">
        <v>32</v>
      </c>
      <c r="H310" t="s">
        <v>61</v>
      </c>
      <c r="I310">
        <v>2022</v>
      </c>
    </row>
    <row r="311" spans="1:9" x14ac:dyDescent="0.3">
      <c r="A311">
        <v>158164441</v>
      </c>
      <c r="B311" s="1">
        <v>44851</v>
      </c>
      <c r="C311" s="1">
        <v>44882</v>
      </c>
      <c r="D311" t="s">
        <v>7</v>
      </c>
      <c r="E311">
        <v>39</v>
      </c>
      <c r="F311" t="s">
        <v>6</v>
      </c>
      <c r="G311" s="19">
        <v>31</v>
      </c>
      <c r="H311" t="s">
        <v>61</v>
      </c>
      <c r="I311">
        <v>2022</v>
      </c>
    </row>
    <row r="312" spans="1:9" x14ac:dyDescent="0.3">
      <c r="A312">
        <v>153956466</v>
      </c>
      <c r="B312" s="1">
        <v>44851</v>
      </c>
      <c r="C312" s="1">
        <v>44882</v>
      </c>
      <c r="D312" t="s">
        <v>7</v>
      </c>
      <c r="E312">
        <v>39</v>
      </c>
      <c r="F312" t="s">
        <v>6</v>
      </c>
      <c r="G312" s="19">
        <v>31</v>
      </c>
      <c r="H312" t="s">
        <v>61</v>
      </c>
      <c r="I312">
        <v>2022</v>
      </c>
    </row>
    <row r="313" spans="1:9" x14ac:dyDescent="0.3">
      <c r="A313">
        <v>158100990</v>
      </c>
      <c r="B313" s="1">
        <v>44851</v>
      </c>
      <c r="C313" s="1">
        <v>44879</v>
      </c>
      <c r="D313" t="s">
        <v>7</v>
      </c>
      <c r="E313">
        <v>39</v>
      </c>
      <c r="F313" t="s">
        <v>6</v>
      </c>
      <c r="G313" s="19">
        <v>28</v>
      </c>
      <c r="H313" t="s">
        <v>61</v>
      </c>
      <c r="I313">
        <v>2022</v>
      </c>
    </row>
    <row r="314" spans="1:9" x14ac:dyDescent="0.3">
      <c r="A314">
        <v>158096894</v>
      </c>
      <c r="B314" s="1">
        <v>44851</v>
      </c>
      <c r="C314" s="1">
        <v>44879</v>
      </c>
      <c r="D314" t="s">
        <v>7</v>
      </c>
      <c r="E314">
        <v>39</v>
      </c>
      <c r="F314" t="s">
        <v>6</v>
      </c>
      <c r="G314" s="19">
        <v>28</v>
      </c>
      <c r="H314" t="s">
        <v>61</v>
      </c>
      <c r="I314">
        <v>2022</v>
      </c>
    </row>
    <row r="315" spans="1:9" x14ac:dyDescent="0.3">
      <c r="A315">
        <v>158066376</v>
      </c>
      <c r="B315" s="1">
        <v>44851</v>
      </c>
      <c r="C315" s="1">
        <v>44873</v>
      </c>
      <c r="D315" t="s">
        <v>7</v>
      </c>
      <c r="E315">
        <v>39</v>
      </c>
      <c r="F315" t="s">
        <v>6</v>
      </c>
      <c r="G315" s="19">
        <v>22</v>
      </c>
      <c r="H315" t="s">
        <v>61</v>
      </c>
      <c r="I315">
        <v>2022</v>
      </c>
    </row>
    <row r="316" spans="1:9" x14ac:dyDescent="0.3">
      <c r="A316">
        <v>158220808</v>
      </c>
      <c r="B316" s="1">
        <v>44852</v>
      </c>
      <c r="D316" t="s">
        <v>8</v>
      </c>
      <c r="E316">
        <v>39</v>
      </c>
      <c r="F316" t="s">
        <v>6</v>
      </c>
      <c r="H316" t="s">
        <v>62</v>
      </c>
      <c r="I316">
        <v>2022</v>
      </c>
    </row>
    <row r="317" spans="1:9" x14ac:dyDescent="0.3">
      <c r="A317">
        <v>131779624</v>
      </c>
      <c r="B317" s="1">
        <v>44852</v>
      </c>
      <c r="C317" s="1">
        <v>44890</v>
      </c>
      <c r="D317" t="s">
        <v>7</v>
      </c>
      <c r="E317">
        <v>39</v>
      </c>
      <c r="F317" t="s">
        <v>6</v>
      </c>
      <c r="G317" s="19">
        <v>38</v>
      </c>
      <c r="H317" t="s">
        <v>62</v>
      </c>
      <c r="I317">
        <v>2022</v>
      </c>
    </row>
    <row r="318" spans="1:9" x14ac:dyDescent="0.3">
      <c r="A318">
        <v>158267390</v>
      </c>
      <c r="B318" s="1">
        <v>44852</v>
      </c>
      <c r="C318" s="1">
        <v>44920</v>
      </c>
      <c r="D318" t="s">
        <v>7</v>
      </c>
      <c r="E318">
        <v>39</v>
      </c>
      <c r="F318" t="s">
        <v>6</v>
      </c>
      <c r="G318" s="19">
        <v>68</v>
      </c>
      <c r="H318" t="s">
        <v>62</v>
      </c>
      <c r="I318">
        <v>2022</v>
      </c>
    </row>
    <row r="319" spans="1:9" x14ac:dyDescent="0.3">
      <c r="A319">
        <v>152354478</v>
      </c>
      <c r="B319" s="1">
        <v>44852</v>
      </c>
      <c r="C319" s="1">
        <v>44959</v>
      </c>
      <c r="D319" t="s">
        <v>7</v>
      </c>
      <c r="E319">
        <v>39</v>
      </c>
      <c r="F319" t="s">
        <v>6</v>
      </c>
      <c r="G319" s="19">
        <v>107</v>
      </c>
      <c r="H319" t="s">
        <v>62</v>
      </c>
      <c r="I319">
        <v>2022</v>
      </c>
    </row>
    <row r="320" spans="1:9" x14ac:dyDescent="0.3">
      <c r="A320">
        <v>146376235</v>
      </c>
      <c r="B320" s="1">
        <v>44852</v>
      </c>
      <c r="C320" s="1">
        <v>44902</v>
      </c>
      <c r="D320" t="s">
        <v>7</v>
      </c>
      <c r="E320">
        <v>39</v>
      </c>
      <c r="F320" t="s">
        <v>6</v>
      </c>
      <c r="G320" s="19">
        <v>50</v>
      </c>
      <c r="H320" t="s">
        <v>62</v>
      </c>
      <c r="I320">
        <v>2022</v>
      </c>
    </row>
    <row r="321" spans="1:9" x14ac:dyDescent="0.3">
      <c r="A321">
        <v>153953296</v>
      </c>
      <c r="B321" s="1">
        <v>44852</v>
      </c>
      <c r="C321" s="1">
        <v>44867</v>
      </c>
      <c r="D321" t="s">
        <v>7</v>
      </c>
      <c r="E321">
        <v>39</v>
      </c>
      <c r="F321" t="s">
        <v>6</v>
      </c>
      <c r="G321" s="19">
        <v>15</v>
      </c>
      <c r="H321" t="s">
        <v>62</v>
      </c>
      <c r="I321">
        <v>2022</v>
      </c>
    </row>
    <row r="322" spans="1:9" x14ac:dyDescent="0.3">
      <c r="A322">
        <v>154659594</v>
      </c>
      <c r="B322" s="1">
        <v>44852</v>
      </c>
      <c r="C322" s="1">
        <v>44879</v>
      </c>
      <c r="D322" t="s">
        <v>7</v>
      </c>
      <c r="E322">
        <v>39</v>
      </c>
      <c r="F322" t="s">
        <v>6</v>
      </c>
      <c r="G322" s="19">
        <v>27</v>
      </c>
      <c r="H322" t="s">
        <v>62</v>
      </c>
      <c r="I322">
        <v>2022</v>
      </c>
    </row>
    <row r="323" spans="1:9" x14ac:dyDescent="0.3">
      <c r="A323">
        <v>157998778</v>
      </c>
      <c r="B323" s="1">
        <v>44852</v>
      </c>
      <c r="C323" s="1">
        <v>44890</v>
      </c>
      <c r="D323" t="s">
        <v>7</v>
      </c>
      <c r="E323">
        <v>39</v>
      </c>
      <c r="F323" t="s">
        <v>6</v>
      </c>
      <c r="G323" s="19">
        <v>38</v>
      </c>
      <c r="H323" t="s">
        <v>62</v>
      </c>
      <c r="I323">
        <v>2022</v>
      </c>
    </row>
    <row r="324" spans="1:9" x14ac:dyDescent="0.3">
      <c r="A324">
        <v>150668840</v>
      </c>
      <c r="B324" s="1">
        <v>44852</v>
      </c>
      <c r="C324" s="1">
        <v>44866</v>
      </c>
      <c r="D324" t="s">
        <v>7</v>
      </c>
      <c r="E324">
        <v>39</v>
      </c>
      <c r="F324" t="s">
        <v>6</v>
      </c>
      <c r="G324" s="19">
        <v>14</v>
      </c>
      <c r="H324" t="s">
        <v>62</v>
      </c>
      <c r="I324">
        <v>2022</v>
      </c>
    </row>
    <row r="325" spans="1:9" x14ac:dyDescent="0.3">
      <c r="A325">
        <v>158184958</v>
      </c>
      <c r="B325" s="1">
        <v>44852</v>
      </c>
      <c r="C325" s="1">
        <v>44867</v>
      </c>
      <c r="D325" t="s">
        <v>7</v>
      </c>
      <c r="E325">
        <v>39</v>
      </c>
      <c r="F325" t="s">
        <v>6</v>
      </c>
      <c r="G325" s="19">
        <v>15</v>
      </c>
      <c r="H325" t="s">
        <v>62</v>
      </c>
      <c r="I325">
        <v>2022</v>
      </c>
    </row>
    <row r="326" spans="1:9" x14ac:dyDescent="0.3">
      <c r="A326">
        <v>158362440</v>
      </c>
      <c r="B326" s="1">
        <v>44853</v>
      </c>
      <c r="C326" s="1">
        <v>45065</v>
      </c>
      <c r="D326" t="s">
        <v>7</v>
      </c>
      <c r="E326">
        <v>39</v>
      </c>
      <c r="F326" t="s">
        <v>6</v>
      </c>
      <c r="G326" s="19">
        <v>212</v>
      </c>
      <c r="H326" t="s">
        <v>63</v>
      </c>
      <c r="I326">
        <v>2022</v>
      </c>
    </row>
    <row r="327" spans="1:9" x14ac:dyDescent="0.3">
      <c r="A327">
        <v>158477370</v>
      </c>
      <c r="B327" s="1">
        <v>44853</v>
      </c>
      <c r="C327" s="1">
        <v>44978</v>
      </c>
      <c r="D327" t="s">
        <v>7</v>
      </c>
      <c r="E327">
        <v>39</v>
      </c>
      <c r="F327" t="s">
        <v>6</v>
      </c>
      <c r="G327" s="19">
        <v>125</v>
      </c>
      <c r="H327" t="s">
        <v>63</v>
      </c>
      <c r="I327">
        <v>2022</v>
      </c>
    </row>
    <row r="328" spans="1:9" x14ac:dyDescent="0.3">
      <c r="A328">
        <v>158047538</v>
      </c>
      <c r="B328" s="1">
        <v>44853</v>
      </c>
      <c r="C328" s="1">
        <v>44948</v>
      </c>
      <c r="D328" t="s">
        <v>7</v>
      </c>
      <c r="E328">
        <v>39</v>
      </c>
      <c r="F328" t="s">
        <v>6</v>
      </c>
      <c r="G328" s="19">
        <v>95</v>
      </c>
      <c r="H328" t="s">
        <v>63</v>
      </c>
      <c r="I328">
        <v>2022</v>
      </c>
    </row>
    <row r="329" spans="1:9" x14ac:dyDescent="0.3">
      <c r="A329">
        <v>157910445</v>
      </c>
      <c r="B329" s="1">
        <v>44853</v>
      </c>
      <c r="C329" s="1">
        <v>44941</v>
      </c>
      <c r="D329" t="s">
        <v>7</v>
      </c>
      <c r="E329">
        <v>39</v>
      </c>
      <c r="F329" t="s">
        <v>6</v>
      </c>
      <c r="G329" s="19">
        <v>88</v>
      </c>
      <c r="H329" t="s">
        <v>63</v>
      </c>
      <c r="I329">
        <v>2022</v>
      </c>
    </row>
    <row r="330" spans="1:9" x14ac:dyDescent="0.3">
      <c r="A330">
        <v>154091460</v>
      </c>
      <c r="B330" s="1">
        <v>44853</v>
      </c>
      <c r="C330" s="1">
        <v>45098</v>
      </c>
      <c r="D330" t="s">
        <v>7</v>
      </c>
      <c r="E330">
        <v>39</v>
      </c>
      <c r="F330" t="s">
        <v>6</v>
      </c>
      <c r="G330" s="19">
        <v>245</v>
      </c>
      <c r="H330" t="s">
        <v>63</v>
      </c>
      <c r="I330">
        <v>2022</v>
      </c>
    </row>
    <row r="331" spans="1:9" x14ac:dyDescent="0.3">
      <c r="A331">
        <v>158532103</v>
      </c>
      <c r="B331" s="1">
        <v>44854</v>
      </c>
      <c r="C331" s="1">
        <v>45059</v>
      </c>
      <c r="D331" t="s">
        <v>7</v>
      </c>
      <c r="E331">
        <v>39</v>
      </c>
      <c r="F331" t="s">
        <v>6</v>
      </c>
      <c r="G331" s="19">
        <v>205</v>
      </c>
      <c r="H331" t="s">
        <v>64</v>
      </c>
      <c r="I331">
        <v>2022</v>
      </c>
    </row>
    <row r="332" spans="1:9" x14ac:dyDescent="0.3">
      <c r="A332">
        <v>158591698</v>
      </c>
      <c r="B332" s="1">
        <v>44854</v>
      </c>
      <c r="C332" s="1">
        <v>45002</v>
      </c>
      <c r="D332" t="s">
        <v>7</v>
      </c>
      <c r="E332">
        <v>39</v>
      </c>
      <c r="F332" t="s">
        <v>6</v>
      </c>
      <c r="G332" s="19">
        <v>148</v>
      </c>
      <c r="H332" t="s">
        <v>64</v>
      </c>
      <c r="I332">
        <v>2022</v>
      </c>
    </row>
    <row r="333" spans="1:9" x14ac:dyDescent="0.3">
      <c r="A333">
        <v>158533909</v>
      </c>
      <c r="B333" s="1">
        <v>44854</v>
      </c>
      <c r="C333" s="1">
        <v>44953</v>
      </c>
      <c r="D333" t="s">
        <v>7</v>
      </c>
      <c r="E333">
        <v>39</v>
      </c>
      <c r="F333" t="s">
        <v>6</v>
      </c>
      <c r="G333" s="19">
        <v>99</v>
      </c>
      <c r="H333" t="s">
        <v>64</v>
      </c>
      <c r="I333">
        <v>2022</v>
      </c>
    </row>
    <row r="334" spans="1:9" x14ac:dyDescent="0.3">
      <c r="A334">
        <v>156372496</v>
      </c>
      <c r="B334" s="1">
        <v>44854</v>
      </c>
      <c r="C334" s="1">
        <v>44910</v>
      </c>
      <c r="D334" t="s">
        <v>7</v>
      </c>
      <c r="E334">
        <v>39</v>
      </c>
      <c r="F334" t="s">
        <v>6</v>
      </c>
      <c r="G334" s="19">
        <v>56</v>
      </c>
      <c r="H334" t="s">
        <v>64</v>
      </c>
      <c r="I334">
        <v>2022</v>
      </c>
    </row>
    <row r="335" spans="1:9" x14ac:dyDescent="0.3">
      <c r="A335">
        <v>158620475</v>
      </c>
      <c r="B335" s="1">
        <v>44854</v>
      </c>
      <c r="C335" s="1">
        <v>45135</v>
      </c>
      <c r="D335" t="s">
        <v>7</v>
      </c>
      <c r="E335">
        <v>39</v>
      </c>
      <c r="F335" t="s">
        <v>6</v>
      </c>
      <c r="G335" s="19">
        <v>281</v>
      </c>
      <c r="H335" t="s">
        <v>64</v>
      </c>
      <c r="I335">
        <v>2022</v>
      </c>
    </row>
    <row r="336" spans="1:9" x14ac:dyDescent="0.3">
      <c r="A336">
        <v>158539824</v>
      </c>
      <c r="B336" s="1">
        <v>44854</v>
      </c>
      <c r="C336" s="1">
        <v>45097</v>
      </c>
      <c r="D336" t="s">
        <v>7</v>
      </c>
      <c r="E336">
        <v>39</v>
      </c>
      <c r="F336" t="s">
        <v>6</v>
      </c>
      <c r="G336" s="19">
        <v>243</v>
      </c>
      <c r="H336" t="s">
        <v>64</v>
      </c>
      <c r="I336">
        <v>2022</v>
      </c>
    </row>
    <row r="337" spans="1:9" x14ac:dyDescent="0.3">
      <c r="A337">
        <v>158499042</v>
      </c>
      <c r="B337" s="1">
        <v>44855</v>
      </c>
      <c r="D337" t="s">
        <v>7</v>
      </c>
      <c r="E337">
        <v>39</v>
      </c>
      <c r="F337" t="s">
        <v>6</v>
      </c>
      <c r="H337" t="s">
        <v>65</v>
      </c>
      <c r="I337">
        <v>2022</v>
      </c>
    </row>
    <row r="338" spans="1:9" x14ac:dyDescent="0.3">
      <c r="A338">
        <v>158755464</v>
      </c>
      <c r="B338" s="1">
        <v>44855</v>
      </c>
      <c r="C338" s="1">
        <v>44893</v>
      </c>
      <c r="D338" t="s">
        <v>7</v>
      </c>
      <c r="E338">
        <v>39</v>
      </c>
      <c r="F338" t="s">
        <v>6</v>
      </c>
      <c r="G338" s="19">
        <v>38</v>
      </c>
      <c r="H338" t="s">
        <v>65</v>
      </c>
      <c r="I338">
        <v>2022</v>
      </c>
    </row>
    <row r="339" spans="1:9" x14ac:dyDescent="0.3">
      <c r="A339">
        <v>149112756</v>
      </c>
      <c r="B339" s="1">
        <v>44855</v>
      </c>
      <c r="C339" s="1">
        <v>45074</v>
      </c>
      <c r="D339" t="s">
        <v>7</v>
      </c>
      <c r="E339">
        <v>39</v>
      </c>
      <c r="F339" t="s">
        <v>6</v>
      </c>
      <c r="G339" s="19">
        <v>219</v>
      </c>
      <c r="H339" t="s">
        <v>65</v>
      </c>
      <c r="I339">
        <v>2022</v>
      </c>
    </row>
    <row r="340" spans="1:9" x14ac:dyDescent="0.3">
      <c r="A340">
        <v>149065622</v>
      </c>
      <c r="B340" s="1">
        <v>44855</v>
      </c>
      <c r="C340" s="1">
        <v>44923</v>
      </c>
      <c r="D340" t="s">
        <v>7</v>
      </c>
      <c r="E340">
        <v>39</v>
      </c>
      <c r="F340" t="s">
        <v>6</v>
      </c>
      <c r="G340" s="19">
        <v>68</v>
      </c>
      <c r="H340" t="s">
        <v>65</v>
      </c>
      <c r="I340">
        <v>2022</v>
      </c>
    </row>
    <row r="341" spans="1:9" x14ac:dyDescent="0.3">
      <c r="A341">
        <v>158656065</v>
      </c>
      <c r="B341" s="1">
        <v>44855</v>
      </c>
      <c r="C341" s="1">
        <v>44925</v>
      </c>
      <c r="D341" t="s">
        <v>7</v>
      </c>
      <c r="E341">
        <v>39</v>
      </c>
      <c r="F341" t="s">
        <v>6</v>
      </c>
      <c r="G341" s="19">
        <v>70</v>
      </c>
      <c r="H341" t="s">
        <v>65</v>
      </c>
      <c r="I341">
        <v>2022</v>
      </c>
    </row>
    <row r="342" spans="1:9" x14ac:dyDescent="0.3">
      <c r="A342">
        <v>158756090</v>
      </c>
      <c r="B342" s="1">
        <v>44855</v>
      </c>
      <c r="C342" s="1">
        <v>44867</v>
      </c>
      <c r="D342" t="s">
        <v>7</v>
      </c>
      <c r="E342">
        <v>39</v>
      </c>
      <c r="F342" t="s">
        <v>6</v>
      </c>
      <c r="G342" s="19">
        <v>12</v>
      </c>
      <c r="H342" t="s">
        <v>65</v>
      </c>
      <c r="I342">
        <v>2022</v>
      </c>
    </row>
    <row r="343" spans="1:9" x14ac:dyDescent="0.3">
      <c r="A343">
        <v>158447710</v>
      </c>
      <c r="B343" s="1">
        <v>44855</v>
      </c>
      <c r="C343" s="1">
        <v>44883</v>
      </c>
      <c r="D343" t="s">
        <v>7</v>
      </c>
      <c r="E343">
        <v>39</v>
      </c>
      <c r="F343" t="s">
        <v>6</v>
      </c>
      <c r="G343" s="19">
        <v>28</v>
      </c>
      <c r="H343" t="s">
        <v>65</v>
      </c>
      <c r="I343">
        <v>2022</v>
      </c>
    </row>
    <row r="344" spans="1:9" x14ac:dyDescent="0.3">
      <c r="A344">
        <v>157568391</v>
      </c>
      <c r="B344" s="1">
        <v>44855</v>
      </c>
      <c r="C344" s="1">
        <v>44886</v>
      </c>
      <c r="D344" t="s">
        <v>7</v>
      </c>
      <c r="E344">
        <v>39</v>
      </c>
      <c r="F344" t="s">
        <v>6</v>
      </c>
      <c r="G344" s="19">
        <v>31</v>
      </c>
      <c r="H344" t="s">
        <v>65</v>
      </c>
      <c r="I344">
        <v>2022</v>
      </c>
    </row>
    <row r="345" spans="1:9" x14ac:dyDescent="0.3">
      <c r="A345">
        <v>157505106</v>
      </c>
      <c r="B345" s="1">
        <v>44856</v>
      </c>
      <c r="D345" t="s">
        <v>7</v>
      </c>
      <c r="E345">
        <v>39</v>
      </c>
      <c r="F345" t="s">
        <v>6</v>
      </c>
      <c r="H345" t="s">
        <v>66</v>
      </c>
      <c r="I345">
        <v>2022</v>
      </c>
    </row>
    <row r="346" spans="1:9" x14ac:dyDescent="0.3">
      <c r="A346">
        <v>158761363</v>
      </c>
      <c r="B346" s="1">
        <v>44856</v>
      </c>
      <c r="C346" s="1">
        <v>44983</v>
      </c>
      <c r="D346" t="s">
        <v>7</v>
      </c>
      <c r="E346">
        <v>39</v>
      </c>
      <c r="F346" t="s">
        <v>6</v>
      </c>
      <c r="G346" s="19">
        <v>127</v>
      </c>
      <c r="H346" t="s">
        <v>66</v>
      </c>
      <c r="I346">
        <v>2022</v>
      </c>
    </row>
    <row r="347" spans="1:9" x14ac:dyDescent="0.3">
      <c r="A347">
        <v>144858980</v>
      </c>
      <c r="B347" s="1">
        <v>44856</v>
      </c>
      <c r="C347" s="1">
        <v>44917</v>
      </c>
      <c r="D347" t="s">
        <v>7</v>
      </c>
      <c r="E347">
        <v>39</v>
      </c>
      <c r="F347" t="s">
        <v>6</v>
      </c>
      <c r="G347" s="19">
        <v>61</v>
      </c>
      <c r="H347" t="s">
        <v>66</v>
      </c>
      <c r="I347">
        <v>2022</v>
      </c>
    </row>
    <row r="348" spans="1:9" x14ac:dyDescent="0.3">
      <c r="A348">
        <v>151000288</v>
      </c>
      <c r="B348" s="1">
        <v>44856</v>
      </c>
      <c r="C348" s="1">
        <v>44917</v>
      </c>
      <c r="D348" t="s">
        <v>7</v>
      </c>
      <c r="E348">
        <v>39</v>
      </c>
      <c r="F348" t="s">
        <v>6</v>
      </c>
      <c r="G348" s="19">
        <v>61</v>
      </c>
      <c r="H348" t="s">
        <v>66</v>
      </c>
      <c r="I348">
        <v>2022</v>
      </c>
    </row>
    <row r="349" spans="1:9" x14ac:dyDescent="0.3">
      <c r="A349">
        <v>136276852</v>
      </c>
      <c r="B349" s="1">
        <v>44856</v>
      </c>
      <c r="C349" s="1">
        <v>44887</v>
      </c>
      <c r="D349" t="s">
        <v>7</v>
      </c>
      <c r="E349">
        <v>39</v>
      </c>
      <c r="F349" t="s">
        <v>6</v>
      </c>
      <c r="G349" s="19">
        <v>31</v>
      </c>
      <c r="H349" t="s">
        <v>66</v>
      </c>
      <c r="I349">
        <v>2022</v>
      </c>
    </row>
    <row r="350" spans="1:9" x14ac:dyDescent="0.3">
      <c r="A350">
        <v>158767852</v>
      </c>
      <c r="B350" s="1">
        <v>44856</v>
      </c>
      <c r="C350" s="1">
        <v>44894</v>
      </c>
      <c r="D350" t="s">
        <v>7</v>
      </c>
      <c r="E350">
        <v>39</v>
      </c>
      <c r="F350" t="s">
        <v>6</v>
      </c>
      <c r="G350" s="19">
        <v>38</v>
      </c>
      <c r="H350" t="s">
        <v>66</v>
      </c>
      <c r="I350">
        <v>2022</v>
      </c>
    </row>
    <row r="351" spans="1:9" x14ac:dyDescent="0.3">
      <c r="A351">
        <v>158849640</v>
      </c>
      <c r="B351" s="1">
        <v>44857</v>
      </c>
      <c r="D351" t="s">
        <v>7</v>
      </c>
      <c r="E351">
        <v>39</v>
      </c>
      <c r="F351" t="s">
        <v>6</v>
      </c>
      <c r="H351" t="s">
        <v>60</v>
      </c>
      <c r="I351">
        <v>2022</v>
      </c>
    </row>
    <row r="352" spans="1:9" x14ac:dyDescent="0.3">
      <c r="A352">
        <v>151491892</v>
      </c>
      <c r="B352" s="1">
        <v>44857</v>
      </c>
      <c r="C352" s="1">
        <v>44858</v>
      </c>
      <c r="D352" t="s">
        <v>7</v>
      </c>
      <c r="E352">
        <v>39</v>
      </c>
      <c r="F352" t="s">
        <v>6</v>
      </c>
      <c r="G352" s="19">
        <v>1</v>
      </c>
      <c r="H352" t="s">
        <v>60</v>
      </c>
      <c r="I352">
        <v>2022</v>
      </c>
    </row>
    <row r="353" spans="1:9" x14ac:dyDescent="0.3">
      <c r="A353">
        <v>157474087</v>
      </c>
      <c r="B353" s="1">
        <v>44857</v>
      </c>
      <c r="C353" s="1">
        <v>44925</v>
      </c>
      <c r="D353" t="s">
        <v>7</v>
      </c>
      <c r="E353">
        <v>39</v>
      </c>
      <c r="F353" t="s">
        <v>6</v>
      </c>
      <c r="G353" s="19">
        <v>68</v>
      </c>
      <c r="H353" t="s">
        <v>60</v>
      </c>
      <c r="I353">
        <v>2022</v>
      </c>
    </row>
    <row r="354" spans="1:9" x14ac:dyDescent="0.3">
      <c r="A354">
        <v>157997679</v>
      </c>
      <c r="B354" s="1">
        <v>44857</v>
      </c>
      <c r="C354" s="1">
        <v>45095</v>
      </c>
      <c r="D354" t="s">
        <v>7</v>
      </c>
      <c r="E354">
        <v>39</v>
      </c>
      <c r="F354" t="s">
        <v>6</v>
      </c>
      <c r="G354" s="19">
        <v>238</v>
      </c>
      <c r="H354" t="s">
        <v>60</v>
      </c>
      <c r="I354">
        <v>2022</v>
      </c>
    </row>
    <row r="355" spans="1:9" x14ac:dyDescent="0.3">
      <c r="A355">
        <v>158566772</v>
      </c>
      <c r="B355" s="1">
        <v>44857</v>
      </c>
      <c r="C355" s="1">
        <v>44978</v>
      </c>
      <c r="D355" t="s">
        <v>7</v>
      </c>
      <c r="E355">
        <v>39</v>
      </c>
      <c r="F355" t="s">
        <v>6</v>
      </c>
      <c r="G355" s="19">
        <v>121</v>
      </c>
      <c r="H355" t="s">
        <v>60</v>
      </c>
      <c r="I355">
        <v>2022</v>
      </c>
    </row>
    <row r="356" spans="1:9" x14ac:dyDescent="0.3">
      <c r="A356">
        <v>157788656</v>
      </c>
      <c r="B356" s="1">
        <v>44857</v>
      </c>
      <c r="C356" s="1">
        <v>44915</v>
      </c>
      <c r="D356" t="s">
        <v>7</v>
      </c>
      <c r="E356">
        <v>39</v>
      </c>
      <c r="F356" t="s">
        <v>6</v>
      </c>
      <c r="G356" s="19">
        <v>58</v>
      </c>
      <c r="H356" t="s">
        <v>60</v>
      </c>
      <c r="I356">
        <v>2022</v>
      </c>
    </row>
    <row r="357" spans="1:9" x14ac:dyDescent="0.3">
      <c r="A357">
        <v>158832658</v>
      </c>
      <c r="B357" s="1">
        <v>44857</v>
      </c>
      <c r="C357" s="1">
        <v>44867</v>
      </c>
      <c r="D357" t="s">
        <v>7</v>
      </c>
      <c r="E357">
        <v>39</v>
      </c>
      <c r="F357" t="s">
        <v>6</v>
      </c>
      <c r="G357" s="19">
        <v>10</v>
      </c>
      <c r="H357" t="s">
        <v>60</v>
      </c>
      <c r="I357">
        <v>2022</v>
      </c>
    </row>
    <row r="358" spans="1:9" x14ac:dyDescent="0.3">
      <c r="A358">
        <v>130837976</v>
      </c>
      <c r="B358" s="1">
        <v>44857</v>
      </c>
      <c r="C358" s="1">
        <v>44888</v>
      </c>
      <c r="D358" t="s">
        <v>7</v>
      </c>
      <c r="E358">
        <v>39</v>
      </c>
      <c r="F358" t="s">
        <v>6</v>
      </c>
      <c r="G358" s="19">
        <v>31</v>
      </c>
      <c r="H358" t="s">
        <v>60</v>
      </c>
      <c r="I358">
        <v>2022</v>
      </c>
    </row>
    <row r="359" spans="1:9" x14ac:dyDescent="0.3">
      <c r="A359">
        <v>159095030</v>
      </c>
      <c r="B359" s="1">
        <v>44858</v>
      </c>
      <c r="C359" s="1">
        <v>44973</v>
      </c>
      <c r="D359" t="s">
        <v>7</v>
      </c>
      <c r="E359">
        <v>39</v>
      </c>
      <c r="F359" t="s">
        <v>6</v>
      </c>
      <c r="G359" s="19">
        <v>115</v>
      </c>
      <c r="H359" t="s">
        <v>61</v>
      </c>
      <c r="I359">
        <v>2022</v>
      </c>
    </row>
    <row r="360" spans="1:9" x14ac:dyDescent="0.3">
      <c r="A360">
        <v>159028041</v>
      </c>
      <c r="B360" s="1">
        <v>44858</v>
      </c>
      <c r="C360" s="1">
        <v>44896</v>
      </c>
      <c r="D360" t="s">
        <v>7</v>
      </c>
      <c r="E360">
        <v>39</v>
      </c>
      <c r="F360" t="s">
        <v>6</v>
      </c>
      <c r="G360" s="19">
        <v>38</v>
      </c>
      <c r="H360" t="s">
        <v>61</v>
      </c>
      <c r="I360">
        <v>2022</v>
      </c>
    </row>
    <row r="361" spans="1:9" x14ac:dyDescent="0.3">
      <c r="A361">
        <v>159018168</v>
      </c>
      <c r="B361" s="1">
        <v>44858</v>
      </c>
      <c r="C361" s="1">
        <v>44896</v>
      </c>
      <c r="D361" t="s">
        <v>7</v>
      </c>
      <c r="E361">
        <v>39</v>
      </c>
      <c r="F361" t="s">
        <v>6</v>
      </c>
      <c r="G361" s="19">
        <v>38</v>
      </c>
      <c r="H361" t="s">
        <v>61</v>
      </c>
      <c r="I361">
        <v>2022</v>
      </c>
    </row>
    <row r="362" spans="1:9" x14ac:dyDescent="0.3">
      <c r="A362">
        <v>157981870</v>
      </c>
      <c r="B362" s="1">
        <v>44858</v>
      </c>
      <c r="C362" s="1">
        <v>44872</v>
      </c>
      <c r="D362" t="s">
        <v>7</v>
      </c>
      <c r="E362">
        <v>39</v>
      </c>
      <c r="F362" t="s">
        <v>6</v>
      </c>
      <c r="G362" s="19">
        <v>14</v>
      </c>
      <c r="H362" t="s">
        <v>61</v>
      </c>
      <c r="I362">
        <v>2022</v>
      </c>
    </row>
    <row r="363" spans="1:9" x14ac:dyDescent="0.3">
      <c r="A363">
        <v>153061698</v>
      </c>
      <c r="B363" s="1">
        <v>44858</v>
      </c>
      <c r="C363" s="1">
        <v>44889</v>
      </c>
      <c r="D363" t="s">
        <v>7</v>
      </c>
      <c r="E363">
        <v>39</v>
      </c>
      <c r="F363" t="s">
        <v>6</v>
      </c>
      <c r="G363" s="19">
        <v>31</v>
      </c>
      <c r="H363" t="s">
        <v>61</v>
      </c>
      <c r="I363">
        <v>2022</v>
      </c>
    </row>
    <row r="364" spans="1:9" x14ac:dyDescent="0.3">
      <c r="A364">
        <v>159204523</v>
      </c>
      <c r="B364" s="1">
        <v>44859</v>
      </c>
      <c r="D364" t="s">
        <v>7</v>
      </c>
      <c r="E364">
        <v>39</v>
      </c>
      <c r="F364" t="s">
        <v>6</v>
      </c>
      <c r="H364" t="s">
        <v>62</v>
      </c>
      <c r="I364">
        <v>2022</v>
      </c>
    </row>
    <row r="365" spans="1:9" x14ac:dyDescent="0.3">
      <c r="A365">
        <v>159236268</v>
      </c>
      <c r="B365" s="1">
        <v>44859</v>
      </c>
      <c r="D365" t="s">
        <v>8</v>
      </c>
      <c r="E365">
        <v>39</v>
      </c>
      <c r="F365" t="s">
        <v>6</v>
      </c>
      <c r="H365" t="s">
        <v>62</v>
      </c>
      <c r="I365">
        <v>2022</v>
      </c>
    </row>
    <row r="366" spans="1:9" x14ac:dyDescent="0.3">
      <c r="A366">
        <v>159256553</v>
      </c>
      <c r="B366" s="1">
        <v>44859</v>
      </c>
      <c r="C366" s="1">
        <v>44936</v>
      </c>
      <c r="D366" t="s">
        <v>7</v>
      </c>
      <c r="E366">
        <v>39</v>
      </c>
      <c r="F366" t="s">
        <v>6</v>
      </c>
      <c r="G366" s="19">
        <v>77</v>
      </c>
      <c r="H366" t="s">
        <v>62</v>
      </c>
      <c r="I366">
        <v>2022</v>
      </c>
    </row>
    <row r="367" spans="1:9" x14ac:dyDescent="0.3">
      <c r="A367">
        <v>159211568</v>
      </c>
      <c r="B367" s="1">
        <v>44859</v>
      </c>
      <c r="C367" s="1">
        <v>44928</v>
      </c>
      <c r="D367" t="s">
        <v>7</v>
      </c>
      <c r="E367">
        <v>39</v>
      </c>
      <c r="F367" t="s">
        <v>6</v>
      </c>
      <c r="G367" s="19">
        <v>69</v>
      </c>
      <c r="H367" t="s">
        <v>62</v>
      </c>
      <c r="I367">
        <v>2022</v>
      </c>
    </row>
    <row r="368" spans="1:9" x14ac:dyDescent="0.3">
      <c r="A368">
        <v>154778395</v>
      </c>
      <c r="B368" s="1">
        <v>44859</v>
      </c>
      <c r="C368" s="1">
        <v>44893</v>
      </c>
      <c r="D368" t="s">
        <v>7</v>
      </c>
      <c r="E368">
        <v>39</v>
      </c>
      <c r="F368" t="s">
        <v>6</v>
      </c>
      <c r="G368" s="19">
        <v>34</v>
      </c>
      <c r="H368" t="s">
        <v>62</v>
      </c>
      <c r="I368">
        <v>2022</v>
      </c>
    </row>
    <row r="369" spans="1:9" x14ac:dyDescent="0.3">
      <c r="A369">
        <v>157961180</v>
      </c>
      <c r="B369" s="1">
        <v>44859</v>
      </c>
      <c r="C369" s="1">
        <v>44889</v>
      </c>
      <c r="D369" t="s">
        <v>7</v>
      </c>
      <c r="E369">
        <v>39</v>
      </c>
      <c r="F369" t="s">
        <v>6</v>
      </c>
      <c r="G369" s="19">
        <v>30</v>
      </c>
      <c r="H369" t="s">
        <v>62</v>
      </c>
      <c r="I369">
        <v>2022</v>
      </c>
    </row>
    <row r="370" spans="1:9" x14ac:dyDescent="0.3">
      <c r="A370">
        <v>159281338</v>
      </c>
      <c r="B370" s="1">
        <v>44860</v>
      </c>
      <c r="D370" t="s">
        <v>7</v>
      </c>
      <c r="E370">
        <v>39</v>
      </c>
      <c r="F370" t="s">
        <v>6</v>
      </c>
      <c r="H370" t="s">
        <v>63</v>
      </c>
      <c r="I370">
        <v>2022</v>
      </c>
    </row>
    <row r="371" spans="1:9" x14ac:dyDescent="0.3">
      <c r="A371">
        <v>159364232</v>
      </c>
      <c r="B371" s="1">
        <v>44860</v>
      </c>
      <c r="D371" t="s">
        <v>7</v>
      </c>
      <c r="E371">
        <v>39</v>
      </c>
      <c r="F371" t="s">
        <v>6</v>
      </c>
      <c r="H371" t="s">
        <v>63</v>
      </c>
      <c r="I371">
        <v>2022</v>
      </c>
    </row>
    <row r="372" spans="1:9" x14ac:dyDescent="0.3">
      <c r="A372">
        <v>159276280</v>
      </c>
      <c r="B372" s="1">
        <v>44860</v>
      </c>
      <c r="D372" t="s">
        <v>7</v>
      </c>
      <c r="E372">
        <v>39</v>
      </c>
      <c r="F372" t="s">
        <v>6</v>
      </c>
      <c r="H372" t="s">
        <v>63</v>
      </c>
      <c r="I372">
        <v>2022</v>
      </c>
    </row>
    <row r="373" spans="1:9" x14ac:dyDescent="0.3">
      <c r="A373">
        <v>159326830</v>
      </c>
      <c r="B373" s="1">
        <v>44860</v>
      </c>
      <c r="C373" s="1">
        <v>44861</v>
      </c>
      <c r="D373" t="s">
        <v>7</v>
      </c>
      <c r="E373">
        <v>39</v>
      </c>
      <c r="F373" t="s">
        <v>6</v>
      </c>
      <c r="G373" s="19">
        <v>1</v>
      </c>
      <c r="H373" t="s">
        <v>63</v>
      </c>
      <c r="I373">
        <v>2022</v>
      </c>
    </row>
    <row r="374" spans="1:9" x14ac:dyDescent="0.3">
      <c r="A374">
        <v>158144924</v>
      </c>
      <c r="B374" s="1">
        <v>44860</v>
      </c>
      <c r="C374" s="1">
        <v>44980</v>
      </c>
      <c r="D374" t="s">
        <v>7</v>
      </c>
      <c r="E374">
        <v>39</v>
      </c>
      <c r="F374" t="s">
        <v>6</v>
      </c>
      <c r="G374" s="19">
        <v>120</v>
      </c>
      <c r="H374" t="s">
        <v>63</v>
      </c>
      <c r="I374">
        <v>2022</v>
      </c>
    </row>
    <row r="375" spans="1:9" x14ac:dyDescent="0.3">
      <c r="A375">
        <v>159239867</v>
      </c>
      <c r="B375" s="1">
        <v>44860</v>
      </c>
      <c r="C375" s="1">
        <v>44910</v>
      </c>
      <c r="D375" t="s">
        <v>7</v>
      </c>
      <c r="E375">
        <v>39</v>
      </c>
      <c r="F375" t="s">
        <v>6</v>
      </c>
      <c r="G375" s="19">
        <v>50</v>
      </c>
      <c r="H375" t="s">
        <v>63</v>
      </c>
      <c r="I375">
        <v>2022</v>
      </c>
    </row>
    <row r="376" spans="1:9" x14ac:dyDescent="0.3">
      <c r="A376">
        <v>159108970</v>
      </c>
      <c r="B376" s="1">
        <v>44860</v>
      </c>
      <c r="C376" s="1">
        <v>44915</v>
      </c>
      <c r="D376" t="s">
        <v>7</v>
      </c>
      <c r="E376">
        <v>39</v>
      </c>
      <c r="F376" t="s">
        <v>6</v>
      </c>
      <c r="G376" s="19">
        <v>55</v>
      </c>
      <c r="H376" t="s">
        <v>63</v>
      </c>
      <c r="I376">
        <v>2022</v>
      </c>
    </row>
    <row r="377" spans="1:9" x14ac:dyDescent="0.3">
      <c r="A377">
        <v>158644133</v>
      </c>
      <c r="B377" s="1">
        <v>44860</v>
      </c>
      <c r="C377" s="1">
        <v>44891</v>
      </c>
      <c r="D377" t="s">
        <v>7</v>
      </c>
      <c r="E377">
        <v>39</v>
      </c>
      <c r="F377" t="s">
        <v>6</v>
      </c>
      <c r="G377" s="19">
        <v>31</v>
      </c>
      <c r="H377" t="s">
        <v>63</v>
      </c>
      <c r="I377">
        <v>2022</v>
      </c>
    </row>
    <row r="378" spans="1:9" x14ac:dyDescent="0.3">
      <c r="A378">
        <v>153830193</v>
      </c>
      <c r="B378" s="1">
        <v>44860</v>
      </c>
      <c r="C378" s="1">
        <v>44861</v>
      </c>
      <c r="D378" t="s">
        <v>7</v>
      </c>
      <c r="E378">
        <v>39</v>
      </c>
      <c r="F378" t="s">
        <v>6</v>
      </c>
      <c r="G378" s="19">
        <v>1</v>
      </c>
      <c r="H378" t="s">
        <v>63</v>
      </c>
      <c r="I378">
        <v>2022</v>
      </c>
    </row>
    <row r="379" spans="1:9" x14ac:dyDescent="0.3">
      <c r="A379">
        <v>159664292</v>
      </c>
      <c r="B379" s="1">
        <v>44861</v>
      </c>
      <c r="D379" t="s">
        <v>7</v>
      </c>
      <c r="E379">
        <v>39</v>
      </c>
      <c r="F379" t="s">
        <v>6</v>
      </c>
      <c r="H379" t="s">
        <v>64</v>
      </c>
      <c r="I379">
        <v>2022</v>
      </c>
    </row>
    <row r="380" spans="1:9" x14ac:dyDescent="0.3">
      <c r="A380">
        <v>152937944</v>
      </c>
      <c r="B380" s="1">
        <v>44861</v>
      </c>
      <c r="C380" s="1">
        <v>44862</v>
      </c>
      <c r="D380" t="s">
        <v>8</v>
      </c>
      <c r="E380">
        <v>39</v>
      </c>
      <c r="F380" t="s">
        <v>6</v>
      </c>
      <c r="G380" s="19">
        <v>1</v>
      </c>
      <c r="H380" t="s">
        <v>64</v>
      </c>
      <c r="I380">
        <v>2022</v>
      </c>
    </row>
    <row r="381" spans="1:9" x14ac:dyDescent="0.3">
      <c r="A381">
        <v>159446393</v>
      </c>
      <c r="B381" s="1">
        <v>44861</v>
      </c>
      <c r="C381" s="1">
        <v>45035</v>
      </c>
      <c r="D381" t="s">
        <v>7</v>
      </c>
      <c r="E381">
        <v>39</v>
      </c>
      <c r="F381" t="s">
        <v>6</v>
      </c>
      <c r="G381" s="19">
        <v>174</v>
      </c>
      <c r="H381" t="s">
        <v>64</v>
      </c>
      <c r="I381">
        <v>2022</v>
      </c>
    </row>
    <row r="382" spans="1:9" x14ac:dyDescent="0.3">
      <c r="A382">
        <v>156837717</v>
      </c>
      <c r="B382" s="1">
        <v>44861</v>
      </c>
      <c r="C382" s="1">
        <v>45088</v>
      </c>
      <c r="D382" t="s">
        <v>7</v>
      </c>
      <c r="E382">
        <v>39</v>
      </c>
      <c r="F382" t="s">
        <v>6</v>
      </c>
      <c r="G382" s="19">
        <v>227</v>
      </c>
      <c r="H382" t="s">
        <v>64</v>
      </c>
      <c r="I382">
        <v>2022</v>
      </c>
    </row>
    <row r="383" spans="1:9" x14ac:dyDescent="0.3">
      <c r="A383">
        <v>149000400</v>
      </c>
      <c r="B383" s="1">
        <v>44861</v>
      </c>
      <c r="C383" s="1">
        <v>44983</v>
      </c>
      <c r="D383" t="s">
        <v>7</v>
      </c>
      <c r="E383">
        <v>39</v>
      </c>
      <c r="F383" t="s">
        <v>6</v>
      </c>
      <c r="G383" s="19">
        <v>122</v>
      </c>
      <c r="H383" t="s">
        <v>64</v>
      </c>
      <c r="I383">
        <v>2022</v>
      </c>
    </row>
    <row r="384" spans="1:9" x14ac:dyDescent="0.3">
      <c r="A384">
        <v>157923615</v>
      </c>
      <c r="B384" s="1">
        <v>44861</v>
      </c>
      <c r="C384" s="1">
        <v>44929</v>
      </c>
      <c r="D384" t="s">
        <v>7</v>
      </c>
      <c r="E384">
        <v>39</v>
      </c>
      <c r="F384" t="s">
        <v>6</v>
      </c>
      <c r="G384" s="19">
        <v>68</v>
      </c>
      <c r="H384" t="s">
        <v>64</v>
      </c>
      <c r="I384">
        <v>2022</v>
      </c>
    </row>
    <row r="385" spans="1:9" x14ac:dyDescent="0.3">
      <c r="A385">
        <v>159699736</v>
      </c>
      <c r="B385" s="1">
        <v>44861</v>
      </c>
      <c r="C385" s="1">
        <v>44890</v>
      </c>
      <c r="D385" t="s">
        <v>7</v>
      </c>
      <c r="E385">
        <v>39</v>
      </c>
      <c r="F385" t="s">
        <v>6</v>
      </c>
      <c r="G385" s="19">
        <v>29</v>
      </c>
      <c r="H385" t="s">
        <v>64</v>
      </c>
      <c r="I385">
        <v>2022</v>
      </c>
    </row>
    <row r="386" spans="1:9" x14ac:dyDescent="0.3">
      <c r="A386">
        <v>150816815</v>
      </c>
      <c r="B386" s="1">
        <v>44861</v>
      </c>
      <c r="C386" s="1">
        <v>44881</v>
      </c>
      <c r="D386" t="s">
        <v>7</v>
      </c>
      <c r="E386">
        <v>39</v>
      </c>
      <c r="F386" t="s">
        <v>6</v>
      </c>
      <c r="G386" s="19">
        <v>20</v>
      </c>
      <c r="H386" t="s">
        <v>64</v>
      </c>
      <c r="I386">
        <v>2022</v>
      </c>
    </row>
    <row r="387" spans="1:9" x14ac:dyDescent="0.3">
      <c r="A387">
        <v>159634168</v>
      </c>
      <c r="B387" s="1">
        <v>44861</v>
      </c>
      <c r="C387" s="1">
        <v>45107</v>
      </c>
      <c r="D387" t="s">
        <v>7</v>
      </c>
      <c r="E387">
        <v>39</v>
      </c>
      <c r="F387" t="s">
        <v>6</v>
      </c>
      <c r="G387" s="19">
        <v>246</v>
      </c>
      <c r="H387" t="s">
        <v>64</v>
      </c>
      <c r="I387">
        <v>2022</v>
      </c>
    </row>
    <row r="388" spans="1:9" x14ac:dyDescent="0.3">
      <c r="A388">
        <v>158114418</v>
      </c>
      <c r="B388" s="1">
        <v>44862</v>
      </c>
      <c r="D388" t="s">
        <v>7</v>
      </c>
      <c r="E388">
        <v>39</v>
      </c>
      <c r="F388" t="s">
        <v>6</v>
      </c>
      <c r="H388" t="s">
        <v>65</v>
      </c>
      <c r="I388">
        <v>2022</v>
      </c>
    </row>
    <row r="389" spans="1:9" x14ac:dyDescent="0.3">
      <c r="A389">
        <v>159706104</v>
      </c>
      <c r="B389" s="1">
        <v>44862</v>
      </c>
      <c r="D389" t="s">
        <v>7</v>
      </c>
      <c r="E389">
        <v>39</v>
      </c>
      <c r="F389" t="s">
        <v>6</v>
      </c>
      <c r="H389" t="s">
        <v>65</v>
      </c>
      <c r="I389">
        <v>2022</v>
      </c>
    </row>
    <row r="390" spans="1:9" x14ac:dyDescent="0.3">
      <c r="A390">
        <v>150704581</v>
      </c>
      <c r="B390" s="1">
        <v>44862</v>
      </c>
      <c r="C390" s="1">
        <v>45056</v>
      </c>
      <c r="D390" t="s">
        <v>7</v>
      </c>
      <c r="E390">
        <v>39</v>
      </c>
      <c r="F390" t="s">
        <v>6</v>
      </c>
      <c r="G390" s="19">
        <v>194</v>
      </c>
      <c r="H390" t="s">
        <v>65</v>
      </c>
      <c r="I390">
        <v>2022</v>
      </c>
    </row>
    <row r="391" spans="1:9" x14ac:dyDescent="0.3">
      <c r="A391">
        <v>159733207</v>
      </c>
      <c r="B391" s="1">
        <v>44862</v>
      </c>
      <c r="C391" s="1">
        <v>44984</v>
      </c>
      <c r="D391" t="s">
        <v>7</v>
      </c>
      <c r="E391">
        <v>39</v>
      </c>
      <c r="F391" t="s">
        <v>6</v>
      </c>
      <c r="G391" s="19">
        <v>122</v>
      </c>
      <c r="H391" t="s">
        <v>65</v>
      </c>
      <c r="I391">
        <v>2022</v>
      </c>
    </row>
    <row r="392" spans="1:9" x14ac:dyDescent="0.3">
      <c r="A392">
        <v>159775056</v>
      </c>
      <c r="B392" s="1">
        <v>44862</v>
      </c>
      <c r="C392" s="1">
        <v>45016</v>
      </c>
      <c r="D392" t="s">
        <v>7</v>
      </c>
      <c r="E392">
        <v>39</v>
      </c>
      <c r="F392" t="s">
        <v>6</v>
      </c>
      <c r="G392" s="19">
        <v>154</v>
      </c>
      <c r="H392" t="s">
        <v>65</v>
      </c>
      <c r="I392">
        <v>2022</v>
      </c>
    </row>
    <row r="393" spans="1:9" x14ac:dyDescent="0.3">
      <c r="A393">
        <v>144328609</v>
      </c>
      <c r="B393" s="1">
        <v>44862</v>
      </c>
      <c r="C393" s="1">
        <v>44920</v>
      </c>
      <c r="D393" t="s">
        <v>7</v>
      </c>
      <c r="E393">
        <v>39</v>
      </c>
      <c r="F393" t="s">
        <v>6</v>
      </c>
      <c r="G393" s="19">
        <v>58</v>
      </c>
      <c r="H393" t="s">
        <v>65</v>
      </c>
      <c r="I393">
        <v>2022</v>
      </c>
    </row>
    <row r="394" spans="1:9" x14ac:dyDescent="0.3">
      <c r="A394">
        <v>153172687</v>
      </c>
      <c r="B394" s="1">
        <v>44862</v>
      </c>
      <c r="C394" s="1">
        <v>45159</v>
      </c>
      <c r="D394" t="s">
        <v>7</v>
      </c>
      <c r="E394">
        <v>39</v>
      </c>
      <c r="F394" t="s">
        <v>6</v>
      </c>
      <c r="G394" s="19">
        <v>297</v>
      </c>
      <c r="H394" t="s">
        <v>65</v>
      </c>
      <c r="I394">
        <v>2022</v>
      </c>
    </row>
    <row r="395" spans="1:9" x14ac:dyDescent="0.3">
      <c r="A395">
        <v>159861170</v>
      </c>
      <c r="B395" s="1">
        <v>44863</v>
      </c>
      <c r="D395" t="s">
        <v>7</v>
      </c>
      <c r="E395">
        <v>39</v>
      </c>
      <c r="F395" t="s">
        <v>6</v>
      </c>
      <c r="H395" t="s">
        <v>66</v>
      </c>
      <c r="I395">
        <v>2022</v>
      </c>
    </row>
    <row r="396" spans="1:9" x14ac:dyDescent="0.3">
      <c r="A396">
        <v>133474642</v>
      </c>
      <c r="B396" s="1">
        <v>44863</v>
      </c>
      <c r="C396" s="1">
        <v>44915</v>
      </c>
      <c r="D396" t="s">
        <v>7</v>
      </c>
      <c r="E396">
        <v>39</v>
      </c>
      <c r="F396" t="s">
        <v>6</v>
      </c>
      <c r="G396" s="19">
        <v>52</v>
      </c>
      <c r="H396" t="s">
        <v>66</v>
      </c>
      <c r="I396">
        <v>2022</v>
      </c>
    </row>
    <row r="397" spans="1:9" x14ac:dyDescent="0.3">
      <c r="A397">
        <v>159817608</v>
      </c>
      <c r="B397" s="1">
        <v>44863</v>
      </c>
      <c r="C397" s="1">
        <v>45008</v>
      </c>
      <c r="D397" t="s">
        <v>7</v>
      </c>
      <c r="E397">
        <v>39</v>
      </c>
      <c r="F397" t="s">
        <v>6</v>
      </c>
      <c r="G397" s="19">
        <v>145</v>
      </c>
      <c r="H397" t="s">
        <v>66</v>
      </c>
      <c r="I397">
        <v>2022</v>
      </c>
    </row>
    <row r="398" spans="1:9" x14ac:dyDescent="0.3">
      <c r="A398">
        <v>159867686</v>
      </c>
      <c r="B398" s="1">
        <v>44863</v>
      </c>
      <c r="C398" s="1">
        <v>44931</v>
      </c>
      <c r="D398" t="s">
        <v>7</v>
      </c>
      <c r="E398">
        <v>39</v>
      </c>
      <c r="F398" t="s">
        <v>6</v>
      </c>
      <c r="G398" s="19">
        <v>68</v>
      </c>
      <c r="H398" t="s">
        <v>66</v>
      </c>
      <c r="I398">
        <v>2022</v>
      </c>
    </row>
    <row r="399" spans="1:9" x14ac:dyDescent="0.3">
      <c r="A399">
        <v>158484064</v>
      </c>
      <c r="B399" s="1">
        <v>44863</v>
      </c>
      <c r="C399" s="1">
        <v>44931</v>
      </c>
      <c r="D399" t="s">
        <v>7</v>
      </c>
      <c r="E399">
        <v>39</v>
      </c>
      <c r="F399" t="s">
        <v>6</v>
      </c>
      <c r="G399" s="19">
        <v>68</v>
      </c>
      <c r="H399" t="s">
        <v>66</v>
      </c>
      <c r="I399">
        <v>2022</v>
      </c>
    </row>
    <row r="400" spans="1:9" x14ac:dyDescent="0.3">
      <c r="A400">
        <v>159829834</v>
      </c>
      <c r="B400" s="1">
        <v>44864</v>
      </c>
      <c r="D400" t="s">
        <v>7</v>
      </c>
      <c r="E400">
        <v>39</v>
      </c>
      <c r="F400" t="s">
        <v>6</v>
      </c>
      <c r="H400" t="s">
        <v>60</v>
      </c>
      <c r="I400">
        <v>2022</v>
      </c>
    </row>
    <row r="401" spans="1:9" x14ac:dyDescent="0.3">
      <c r="A401">
        <v>159875790</v>
      </c>
      <c r="B401" s="1">
        <v>44864</v>
      </c>
      <c r="C401" s="1">
        <v>44992</v>
      </c>
      <c r="D401" t="s">
        <v>7</v>
      </c>
      <c r="E401">
        <v>39</v>
      </c>
      <c r="F401" t="s">
        <v>6</v>
      </c>
      <c r="G401" s="19">
        <v>128</v>
      </c>
      <c r="H401" t="s">
        <v>60</v>
      </c>
      <c r="I401">
        <v>2022</v>
      </c>
    </row>
    <row r="402" spans="1:9" x14ac:dyDescent="0.3">
      <c r="A402">
        <v>155520280</v>
      </c>
      <c r="B402" s="1">
        <v>44864</v>
      </c>
      <c r="C402" s="1">
        <v>44902</v>
      </c>
      <c r="D402" t="s">
        <v>7</v>
      </c>
      <c r="E402">
        <v>39</v>
      </c>
      <c r="F402" t="s">
        <v>6</v>
      </c>
      <c r="G402" s="19">
        <v>38</v>
      </c>
      <c r="H402" t="s">
        <v>60</v>
      </c>
      <c r="I402">
        <v>2022</v>
      </c>
    </row>
    <row r="403" spans="1:9" x14ac:dyDescent="0.3">
      <c r="A403">
        <v>159783942</v>
      </c>
      <c r="B403" s="1">
        <v>44864</v>
      </c>
      <c r="C403" s="1">
        <v>44923</v>
      </c>
      <c r="D403" t="s">
        <v>7</v>
      </c>
      <c r="E403">
        <v>39</v>
      </c>
      <c r="F403" t="s">
        <v>6</v>
      </c>
      <c r="G403" s="19">
        <v>59</v>
      </c>
      <c r="H403" t="s">
        <v>60</v>
      </c>
      <c r="I403">
        <v>2022</v>
      </c>
    </row>
    <row r="404" spans="1:9" x14ac:dyDescent="0.3">
      <c r="A404">
        <v>149696432</v>
      </c>
      <c r="B404" s="1">
        <v>44864</v>
      </c>
      <c r="C404" s="1">
        <v>44891</v>
      </c>
      <c r="D404" t="s">
        <v>7</v>
      </c>
      <c r="E404">
        <v>39</v>
      </c>
      <c r="F404" t="s">
        <v>6</v>
      </c>
      <c r="G404" s="19">
        <v>27</v>
      </c>
      <c r="H404" t="s">
        <v>60</v>
      </c>
      <c r="I404">
        <v>2022</v>
      </c>
    </row>
    <row r="405" spans="1:9" x14ac:dyDescent="0.3">
      <c r="A405">
        <v>159979372</v>
      </c>
      <c r="B405" s="1">
        <v>44865</v>
      </c>
      <c r="D405" t="s">
        <v>7</v>
      </c>
      <c r="E405">
        <v>39</v>
      </c>
      <c r="F405" t="s">
        <v>6</v>
      </c>
      <c r="H405" t="s">
        <v>61</v>
      </c>
      <c r="I405">
        <v>2022</v>
      </c>
    </row>
    <row r="406" spans="1:9" x14ac:dyDescent="0.3">
      <c r="A406">
        <v>153814649</v>
      </c>
      <c r="B406" s="1">
        <v>44865</v>
      </c>
      <c r="D406" t="s">
        <v>7</v>
      </c>
      <c r="E406">
        <v>39</v>
      </c>
      <c r="F406" t="s">
        <v>6</v>
      </c>
      <c r="H406" t="s">
        <v>61</v>
      </c>
      <c r="I406">
        <v>2022</v>
      </c>
    </row>
    <row r="407" spans="1:9" x14ac:dyDescent="0.3">
      <c r="A407">
        <v>159931469</v>
      </c>
      <c r="B407" s="1">
        <v>44865</v>
      </c>
      <c r="D407" t="s">
        <v>7</v>
      </c>
      <c r="E407">
        <v>39</v>
      </c>
      <c r="F407" t="s">
        <v>6</v>
      </c>
      <c r="H407" t="s">
        <v>61</v>
      </c>
      <c r="I407">
        <v>2022</v>
      </c>
    </row>
    <row r="408" spans="1:9" x14ac:dyDescent="0.3">
      <c r="A408">
        <v>138061210</v>
      </c>
      <c r="B408" s="1">
        <v>44865</v>
      </c>
      <c r="C408" s="1">
        <v>44865</v>
      </c>
      <c r="D408" t="s">
        <v>7</v>
      </c>
      <c r="E408">
        <v>39</v>
      </c>
      <c r="F408" t="s">
        <v>6</v>
      </c>
      <c r="G408" s="19">
        <v>0</v>
      </c>
      <c r="H408" t="s">
        <v>61</v>
      </c>
      <c r="I408">
        <v>2022</v>
      </c>
    </row>
    <row r="409" spans="1:9" x14ac:dyDescent="0.3">
      <c r="A409">
        <v>141403460</v>
      </c>
      <c r="B409" s="1">
        <v>44865</v>
      </c>
      <c r="C409" s="1">
        <v>44942</v>
      </c>
      <c r="D409" t="s">
        <v>7</v>
      </c>
      <c r="E409">
        <v>39</v>
      </c>
      <c r="F409" t="s">
        <v>6</v>
      </c>
      <c r="G409" s="19">
        <v>77</v>
      </c>
      <c r="H409" t="s">
        <v>61</v>
      </c>
      <c r="I409">
        <v>2022</v>
      </c>
    </row>
    <row r="410" spans="1:9" x14ac:dyDescent="0.3">
      <c r="A410">
        <v>159991922</v>
      </c>
      <c r="B410" s="1">
        <v>44865</v>
      </c>
      <c r="C410" s="1">
        <v>44912</v>
      </c>
      <c r="D410" t="s">
        <v>7</v>
      </c>
      <c r="E410">
        <v>39</v>
      </c>
      <c r="F410" t="s">
        <v>6</v>
      </c>
      <c r="G410" s="19">
        <v>47</v>
      </c>
      <c r="H410" t="s">
        <v>61</v>
      </c>
      <c r="I410">
        <v>2022</v>
      </c>
    </row>
    <row r="411" spans="1:9" x14ac:dyDescent="0.3">
      <c r="A411">
        <v>159241648</v>
      </c>
      <c r="B411" s="1">
        <v>44865</v>
      </c>
      <c r="C411" s="1">
        <v>44909</v>
      </c>
      <c r="D411" t="s">
        <v>7</v>
      </c>
      <c r="E411">
        <v>39</v>
      </c>
      <c r="F411" t="s">
        <v>6</v>
      </c>
      <c r="G411" s="19">
        <v>44</v>
      </c>
      <c r="H411" t="s">
        <v>61</v>
      </c>
      <c r="I411">
        <v>2022</v>
      </c>
    </row>
    <row r="412" spans="1:9" x14ac:dyDescent="0.3">
      <c r="A412">
        <v>150703411</v>
      </c>
      <c r="B412" s="1">
        <v>44865</v>
      </c>
      <c r="C412" s="1">
        <v>44896</v>
      </c>
      <c r="D412" t="s">
        <v>7</v>
      </c>
      <c r="E412">
        <v>39</v>
      </c>
      <c r="F412" t="s">
        <v>6</v>
      </c>
      <c r="G412" s="19">
        <v>31</v>
      </c>
      <c r="H412" t="s">
        <v>61</v>
      </c>
      <c r="I412">
        <v>2022</v>
      </c>
    </row>
    <row r="413" spans="1:9" x14ac:dyDescent="0.3">
      <c r="A413">
        <v>159773641</v>
      </c>
      <c r="B413" s="1">
        <v>44865</v>
      </c>
      <c r="C413" s="1">
        <v>44880</v>
      </c>
      <c r="D413" t="s">
        <v>7</v>
      </c>
      <c r="E413">
        <v>39</v>
      </c>
      <c r="F413" t="s">
        <v>6</v>
      </c>
      <c r="G413" s="19">
        <v>15</v>
      </c>
      <c r="H413" t="s">
        <v>61</v>
      </c>
      <c r="I413">
        <v>2022</v>
      </c>
    </row>
    <row r="414" spans="1:9" x14ac:dyDescent="0.3">
      <c r="A414">
        <v>128002797</v>
      </c>
      <c r="B414" s="1">
        <v>44865</v>
      </c>
      <c r="C414" s="1">
        <v>44895</v>
      </c>
      <c r="D414" t="s">
        <v>7</v>
      </c>
      <c r="E414">
        <v>39</v>
      </c>
      <c r="F414" t="s">
        <v>6</v>
      </c>
      <c r="G414" s="19">
        <v>30</v>
      </c>
      <c r="H414" t="s">
        <v>61</v>
      </c>
      <c r="I414">
        <v>2022</v>
      </c>
    </row>
    <row r="415" spans="1:9" x14ac:dyDescent="0.3">
      <c r="A415">
        <v>155807489</v>
      </c>
      <c r="B415" s="1">
        <v>44866</v>
      </c>
      <c r="C415" s="1">
        <v>44867</v>
      </c>
      <c r="D415" t="s">
        <v>8</v>
      </c>
      <c r="E415">
        <v>39</v>
      </c>
      <c r="F415" t="s">
        <v>6</v>
      </c>
      <c r="G415" s="19">
        <v>1</v>
      </c>
      <c r="H415" t="s">
        <v>62</v>
      </c>
      <c r="I415">
        <v>2022</v>
      </c>
    </row>
    <row r="416" spans="1:9" x14ac:dyDescent="0.3">
      <c r="A416">
        <v>143077712</v>
      </c>
      <c r="B416" s="1">
        <v>44866</v>
      </c>
      <c r="C416" s="1">
        <v>44867</v>
      </c>
      <c r="D416" t="s">
        <v>8</v>
      </c>
      <c r="E416">
        <v>39</v>
      </c>
      <c r="F416" t="s">
        <v>6</v>
      </c>
      <c r="G416" s="19">
        <v>1</v>
      </c>
      <c r="H416" t="s">
        <v>62</v>
      </c>
      <c r="I416">
        <v>2022</v>
      </c>
    </row>
    <row r="417" spans="1:9" x14ac:dyDescent="0.3">
      <c r="A417">
        <v>159745646</v>
      </c>
      <c r="B417" s="1">
        <v>44866</v>
      </c>
      <c r="C417" s="1">
        <v>45030</v>
      </c>
      <c r="D417" t="s">
        <v>7</v>
      </c>
      <c r="E417">
        <v>39</v>
      </c>
      <c r="F417" t="s">
        <v>6</v>
      </c>
      <c r="G417" s="19">
        <v>164</v>
      </c>
      <c r="H417" t="s">
        <v>62</v>
      </c>
      <c r="I417">
        <v>2022</v>
      </c>
    </row>
    <row r="418" spans="1:9" x14ac:dyDescent="0.3">
      <c r="A418">
        <v>139004918</v>
      </c>
      <c r="B418" s="1">
        <v>44866</v>
      </c>
      <c r="C418" s="1">
        <v>44896</v>
      </c>
      <c r="D418" t="s">
        <v>7</v>
      </c>
      <c r="E418">
        <v>39</v>
      </c>
      <c r="F418" t="s">
        <v>6</v>
      </c>
      <c r="G418" s="19">
        <v>30</v>
      </c>
      <c r="H418" t="s">
        <v>62</v>
      </c>
      <c r="I418">
        <v>2022</v>
      </c>
    </row>
    <row r="419" spans="1:9" x14ac:dyDescent="0.3">
      <c r="A419">
        <v>153255183</v>
      </c>
      <c r="B419" s="1">
        <v>44866</v>
      </c>
      <c r="C419" s="1">
        <v>44973</v>
      </c>
      <c r="D419" t="s">
        <v>7</v>
      </c>
      <c r="E419">
        <v>39</v>
      </c>
      <c r="F419" t="s">
        <v>6</v>
      </c>
      <c r="G419" s="19">
        <v>107</v>
      </c>
      <c r="H419" t="s">
        <v>62</v>
      </c>
      <c r="I419">
        <v>2022</v>
      </c>
    </row>
    <row r="420" spans="1:9" x14ac:dyDescent="0.3">
      <c r="A420">
        <v>157708746</v>
      </c>
      <c r="B420" s="1">
        <v>44866</v>
      </c>
      <c r="C420" s="1">
        <v>44957</v>
      </c>
      <c r="D420" t="s">
        <v>7</v>
      </c>
      <c r="E420">
        <v>39</v>
      </c>
      <c r="F420" t="s">
        <v>6</v>
      </c>
      <c r="G420" s="19">
        <v>91</v>
      </c>
      <c r="H420" t="s">
        <v>62</v>
      </c>
      <c r="I420">
        <v>2022</v>
      </c>
    </row>
    <row r="421" spans="1:9" x14ac:dyDescent="0.3">
      <c r="A421">
        <v>155652993</v>
      </c>
      <c r="B421" s="1">
        <v>44866</v>
      </c>
      <c r="C421" s="1">
        <v>44934</v>
      </c>
      <c r="D421" t="s">
        <v>7</v>
      </c>
      <c r="E421">
        <v>39</v>
      </c>
      <c r="F421" t="s">
        <v>6</v>
      </c>
      <c r="G421" s="19">
        <v>68</v>
      </c>
      <c r="H421" t="s">
        <v>62</v>
      </c>
      <c r="I421">
        <v>2022</v>
      </c>
    </row>
    <row r="422" spans="1:9" x14ac:dyDescent="0.3">
      <c r="A422">
        <v>159977918</v>
      </c>
      <c r="B422" s="1">
        <v>44866</v>
      </c>
      <c r="C422" s="1">
        <v>44950</v>
      </c>
      <c r="D422" t="s">
        <v>7</v>
      </c>
      <c r="E422">
        <v>39</v>
      </c>
      <c r="F422" t="s">
        <v>6</v>
      </c>
      <c r="G422" s="19">
        <v>84</v>
      </c>
      <c r="H422" t="s">
        <v>62</v>
      </c>
      <c r="I422">
        <v>2022</v>
      </c>
    </row>
    <row r="423" spans="1:9" x14ac:dyDescent="0.3">
      <c r="A423">
        <v>160108159</v>
      </c>
      <c r="B423" s="1">
        <v>44866</v>
      </c>
      <c r="C423" s="1">
        <v>44899</v>
      </c>
      <c r="D423" t="s">
        <v>7</v>
      </c>
      <c r="E423">
        <v>39</v>
      </c>
      <c r="F423" t="s">
        <v>6</v>
      </c>
      <c r="G423" s="19">
        <v>33</v>
      </c>
      <c r="H423" t="s">
        <v>62</v>
      </c>
      <c r="I423">
        <v>2022</v>
      </c>
    </row>
    <row r="424" spans="1:9" x14ac:dyDescent="0.3">
      <c r="A424">
        <v>160051910</v>
      </c>
      <c r="B424" s="1">
        <v>44866</v>
      </c>
      <c r="C424" s="1">
        <v>44874</v>
      </c>
      <c r="D424" t="s">
        <v>7</v>
      </c>
      <c r="E424">
        <v>39</v>
      </c>
      <c r="F424" t="s">
        <v>6</v>
      </c>
      <c r="G424" s="19">
        <v>8</v>
      </c>
      <c r="H424" t="s">
        <v>62</v>
      </c>
      <c r="I424">
        <v>2022</v>
      </c>
    </row>
    <row r="425" spans="1:9" x14ac:dyDescent="0.3">
      <c r="A425">
        <v>146169043</v>
      </c>
      <c r="B425" s="1">
        <v>44866</v>
      </c>
      <c r="C425" s="1">
        <v>45148</v>
      </c>
      <c r="D425" t="s">
        <v>7</v>
      </c>
      <c r="E425">
        <v>39</v>
      </c>
      <c r="F425" t="s">
        <v>6</v>
      </c>
      <c r="G425" s="19">
        <v>282</v>
      </c>
      <c r="H425" t="s">
        <v>62</v>
      </c>
      <c r="I425">
        <v>2022</v>
      </c>
    </row>
    <row r="426" spans="1:9" x14ac:dyDescent="0.3">
      <c r="A426">
        <v>159927090</v>
      </c>
      <c r="B426" s="1">
        <v>44867</v>
      </c>
      <c r="D426" t="s">
        <v>7</v>
      </c>
      <c r="E426">
        <v>39</v>
      </c>
      <c r="F426" t="s">
        <v>6</v>
      </c>
      <c r="H426" t="s">
        <v>63</v>
      </c>
      <c r="I426">
        <v>2022</v>
      </c>
    </row>
    <row r="427" spans="1:9" x14ac:dyDescent="0.3">
      <c r="A427">
        <v>149188028</v>
      </c>
      <c r="B427" s="1">
        <v>44867</v>
      </c>
      <c r="D427" t="s">
        <v>7</v>
      </c>
      <c r="E427">
        <v>39</v>
      </c>
      <c r="F427" t="s">
        <v>6</v>
      </c>
      <c r="H427" t="s">
        <v>63</v>
      </c>
      <c r="I427">
        <v>2022</v>
      </c>
    </row>
    <row r="428" spans="1:9" x14ac:dyDescent="0.3">
      <c r="A428">
        <v>138535334</v>
      </c>
      <c r="B428" s="1">
        <v>44867</v>
      </c>
      <c r="C428" s="1">
        <v>44910</v>
      </c>
      <c r="D428" t="s">
        <v>7</v>
      </c>
      <c r="E428">
        <v>39</v>
      </c>
      <c r="F428" t="s">
        <v>6</v>
      </c>
      <c r="G428" s="19">
        <v>43</v>
      </c>
      <c r="H428" t="s">
        <v>63</v>
      </c>
      <c r="I428">
        <v>2022</v>
      </c>
    </row>
    <row r="429" spans="1:9" x14ac:dyDescent="0.3">
      <c r="A429">
        <v>159901871</v>
      </c>
      <c r="B429" s="1">
        <v>44867</v>
      </c>
      <c r="C429" s="1">
        <v>44904</v>
      </c>
      <c r="D429" t="s">
        <v>7</v>
      </c>
      <c r="E429">
        <v>39</v>
      </c>
      <c r="F429" t="s">
        <v>6</v>
      </c>
      <c r="G429" s="19">
        <v>37</v>
      </c>
      <c r="H429" t="s">
        <v>63</v>
      </c>
      <c r="I429">
        <v>2022</v>
      </c>
    </row>
    <row r="430" spans="1:9" x14ac:dyDescent="0.3">
      <c r="A430">
        <v>159620660</v>
      </c>
      <c r="B430" s="1">
        <v>44867</v>
      </c>
      <c r="C430" s="1">
        <v>44907</v>
      </c>
      <c r="D430" t="s">
        <v>7</v>
      </c>
      <c r="E430">
        <v>39</v>
      </c>
      <c r="F430" t="s">
        <v>6</v>
      </c>
      <c r="G430" s="19">
        <v>40</v>
      </c>
      <c r="H430" t="s">
        <v>63</v>
      </c>
      <c r="I430">
        <v>2022</v>
      </c>
    </row>
    <row r="431" spans="1:9" x14ac:dyDescent="0.3">
      <c r="A431">
        <v>160199525</v>
      </c>
      <c r="B431" s="1">
        <v>44867</v>
      </c>
      <c r="C431" s="1">
        <v>44888</v>
      </c>
      <c r="D431" t="s">
        <v>7</v>
      </c>
      <c r="E431">
        <v>39</v>
      </c>
      <c r="F431" t="s">
        <v>6</v>
      </c>
      <c r="G431" s="19">
        <v>21</v>
      </c>
      <c r="H431" t="s">
        <v>63</v>
      </c>
      <c r="I431">
        <v>2022</v>
      </c>
    </row>
    <row r="432" spans="1:9" x14ac:dyDescent="0.3">
      <c r="A432">
        <v>160183686</v>
      </c>
      <c r="B432" s="1">
        <v>44868</v>
      </c>
      <c r="C432" s="1">
        <v>44869</v>
      </c>
      <c r="D432" t="s">
        <v>8</v>
      </c>
      <c r="E432">
        <v>39</v>
      </c>
      <c r="F432" t="s">
        <v>6</v>
      </c>
      <c r="G432" s="19">
        <v>1</v>
      </c>
      <c r="H432" t="s">
        <v>64</v>
      </c>
      <c r="I432">
        <v>2022</v>
      </c>
    </row>
    <row r="433" spans="1:9" x14ac:dyDescent="0.3">
      <c r="A433">
        <v>152504354</v>
      </c>
      <c r="B433" s="1">
        <v>44868</v>
      </c>
      <c r="C433" s="1">
        <v>44988</v>
      </c>
      <c r="D433" t="s">
        <v>7</v>
      </c>
      <c r="E433">
        <v>39</v>
      </c>
      <c r="F433" t="s">
        <v>6</v>
      </c>
      <c r="G433" s="19">
        <v>120</v>
      </c>
      <c r="H433" t="s">
        <v>64</v>
      </c>
      <c r="I433">
        <v>2022</v>
      </c>
    </row>
    <row r="434" spans="1:9" x14ac:dyDescent="0.3">
      <c r="A434">
        <v>143164854</v>
      </c>
      <c r="B434" s="1">
        <v>44868</v>
      </c>
      <c r="C434" s="1">
        <v>44975</v>
      </c>
      <c r="D434" t="s">
        <v>7</v>
      </c>
      <c r="E434">
        <v>39</v>
      </c>
      <c r="F434" t="s">
        <v>6</v>
      </c>
      <c r="G434" s="19">
        <v>107</v>
      </c>
      <c r="H434" t="s">
        <v>64</v>
      </c>
      <c r="I434">
        <v>2022</v>
      </c>
    </row>
    <row r="435" spans="1:9" x14ac:dyDescent="0.3">
      <c r="A435">
        <v>160366020</v>
      </c>
      <c r="B435" s="1">
        <v>44868</v>
      </c>
      <c r="C435" s="1">
        <v>44898</v>
      </c>
      <c r="D435" t="s">
        <v>7</v>
      </c>
      <c r="E435">
        <v>39</v>
      </c>
      <c r="F435" t="s">
        <v>6</v>
      </c>
      <c r="G435" s="19">
        <v>30</v>
      </c>
      <c r="H435" t="s">
        <v>64</v>
      </c>
      <c r="I435">
        <v>2022</v>
      </c>
    </row>
    <row r="436" spans="1:9" x14ac:dyDescent="0.3">
      <c r="A436">
        <v>160298168</v>
      </c>
      <c r="B436" s="1">
        <v>44868</v>
      </c>
      <c r="C436" s="1">
        <v>44897</v>
      </c>
      <c r="D436" t="s">
        <v>7</v>
      </c>
      <c r="E436">
        <v>39</v>
      </c>
      <c r="F436" t="s">
        <v>6</v>
      </c>
      <c r="G436" s="19">
        <v>29</v>
      </c>
      <c r="H436" t="s">
        <v>64</v>
      </c>
      <c r="I436">
        <v>2022</v>
      </c>
    </row>
    <row r="437" spans="1:9" x14ac:dyDescent="0.3">
      <c r="A437">
        <v>160243008</v>
      </c>
      <c r="B437" s="1">
        <v>44868</v>
      </c>
      <c r="C437" s="1">
        <v>44924</v>
      </c>
      <c r="D437" t="s">
        <v>7</v>
      </c>
      <c r="E437">
        <v>39</v>
      </c>
      <c r="F437" t="s">
        <v>6</v>
      </c>
      <c r="G437" s="19">
        <v>56</v>
      </c>
      <c r="H437" t="s">
        <v>64</v>
      </c>
      <c r="I437">
        <v>2022</v>
      </c>
    </row>
    <row r="438" spans="1:9" x14ac:dyDescent="0.3">
      <c r="A438">
        <v>150878120</v>
      </c>
      <c r="B438" s="1">
        <v>44868</v>
      </c>
      <c r="C438" s="1">
        <v>44905</v>
      </c>
      <c r="D438" t="s">
        <v>7</v>
      </c>
      <c r="E438">
        <v>39</v>
      </c>
      <c r="F438" t="s">
        <v>6</v>
      </c>
      <c r="G438" s="19">
        <v>37</v>
      </c>
      <c r="H438" t="s">
        <v>64</v>
      </c>
      <c r="I438">
        <v>2022</v>
      </c>
    </row>
    <row r="439" spans="1:9" x14ac:dyDescent="0.3">
      <c r="A439">
        <v>160208723</v>
      </c>
      <c r="B439" s="1">
        <v>44869</v>
      </c>
      <c r="D439" t="s">
        <v>7</v>
      </c>
      <c r="E439">
        <v>39</v>
      </c>
      <c r="F439" t="s">
        <v>6</v>
      </c>
      <c r="H439" t="s">
        <v>65</v>
      </c>
      <c r="I439">
        <v>2022</v>
      </c>
    </row>
    <row r="440" spans="1:9" x14ac:dyDescent="0.3">
      <c r="A440">
        <v>153539322</v>
      </c>
      <c r="B440" s="1">
        <v>44869</v>
      </c>
      <c r="C440" s="1">
        <v>44964</v>
      </c>
      <c r="D440" t="s">
        <v>7</v>
      </c>
      <c r="E440">
        <v>39</v>
      </c>
      <c r="F440" t="s">
        <v>6</v>
      </c>
      <c r="G440" s="19">
        <v>95</v>
      </c>
      <c r="H440" t="s">
        <v>65</v>
      </c>
      <c r="I440">
        <v>2022</v>
      </c>
    </row>
    <row r="441" spans="1:9" x14ac:dyDescent="0.3">
      <c r="A441">
        <v>160164472</v>
      </c>
      <c r="B441" s="1">
        <v>44869</v>
      </c>
      <c r="C441" s="1">
        <v>44981</v>
      </c>
      <c r="D441" t="s">
        <v>7</v>
      </c>
      <c r="E441">
        <v>39</v>
      </c>
      <c r="F441" t="s">
        <v>6</v>
      </c>
      <c r="G441" s="19">
        <v>112</v>
      </c>
      <c r="H441" t="s">
        <v>65</v>
      </c>
      <c r="I441">
        <v>2022</v>
      </c>
    </row>
    <row r="442" spans="1:9" x14ac:dyDescent="0.3">
      <c r="A442">
        <v>160193644</v>
      </c>
      <c r="B442" s="1">
        <v>44869</v>
      </c>
      <c r="C442" s="1">
        <v>44937</v>
      </c>
      <c r="D442" t="s">
        <v>7</v>
      </c>
      <c r="E442">
        <v>39</v>
      </c>
      <c r="F442" t="s">
        <v>6</v>
      </c>
      <c r="G442" s="19">
        <v>68</v>
      </c>
      <c r="H442" t="s">
        <v>65</v>
      </c>
      <c r="I442">
        <v>2022</v>
      </c>
    </row>
    <row r="443" spans="1:9" x14ac:dyDescent="0.3">
      <c r="A443">
        <v>156294098</v>
      </c>
      <c r="B443" s="1">
        <v>44869</v>
      </c>
      <c r="C443" s="1">
        <v>44898</v>
      </c>
      <c r="D443" t="s">
        <v>7</v>
      </c>
      <c r="E443">
        <v>39</v>
      </c>
      <c r="F443" t="s">
        <v>6</v>
      </c>
      <c r="G443" s="19">
        <v>29</v>
      </c>
      <c r="H443" t="s">
        <v>65</v>
      </c>
      <c r="I443">
        <v>2022</v>
      </c>
    </row>
    <row r="444" spans="1:9" x14ac:dyDescent="0.3">
      <c r="A444">
        <v>146625866</v>
      </c>
      <c r="B444" s="1">
        <v>44869</v>
      </c>
      <c r="C444" s="1">
        <v>44884</v>
      </c>
      <c r="D444" t="s">
        <v>7</v>
      </c>
      <c r="E444">
        <v>39</v>
      </c>
      <c r="F444" t="s">
        <v>6</v>
      </c>
      <c r="G444" s="19">
        <v>15</v>
      </c>
      <c r="H444" t="s">
        <v>65</v>
      </c>
      <c r="I444">
        <v>2022</v>
      </c>
    </row>
    <row r="445" spans="1:9" x14ac:dyDescent="0.3">
      <c r="A445">
        <v>157663870</v>
      </c>
      <c r="B445" s="1">
        <v>44870</v>
      </c>
      <c r="C445" s="1">
        <v>44871</v>
      </c>
      <c r="D445" t="s">
        <v>7</v>
      </c>
      <c r="E445">
        <v>39</v>
      </c>
      <c r="F445" t="s">
        <v>6</v>
      </c>
      <c r="G445" s="19">
        <v>1</v>
      </c>
      <c r="H445" t="s">
        <v>66</v>
      </c>
      <c r="I445">
        <v>2022</v>
      </c>
    </row>
    <row r="446" spans="1:9" x14ac:dyDescent="0.3">
      <c r="A446">
        <v>159679042</v>
      </c>
      <c r="B446" s="1">
        <v>44870</v>
      </c>
      <c r="C446" s="1">
        <v>44871</v>
      </c>
      <c r="D446" t="s">
        <v>8</v>
      </c>
      <c r="E446">
        <v>39</v>
      </c>
      <c r="F446" t="s">
        <v>6</v>
      </c>
      <c r="G446" s="19">
        <v>1</v>
      </c>
      <c r="H446" t="s">
        <v>66</v>
      </c>
      <c r="I446">
        <v>2022</v>
      </c>
    </row>
    <row r="447" spans="1:9" x14ac:dyDescent="0.3">
      <c r="A447">
        <v>160558904</v>
      </c>
      <c r="B447" s="1">
        <v>44870</v>
      </c>
      <c r="C447" s="1">
        <v>44950</v>
      </c>
      <c r="D447" t="s">
        <v>7</v>
      </c>
      <c r="E447">
        <v>39</v>
      </c>
      <c r="F447" t="s">
        <v>6</v>
      </c>
      <c r="G447" s="19">
        <v>80</v>
      </c>
      <c r="H447" t="s">
        <v>66</v>
      </c>
      <c r="I447">
        <v>2022</v>
      </c>
    </row>
    <row r="448" spans="1:9" x14ac:dyDescent="0.3">
      <c r="A448">
        <v>127836197</v>
      </c>
      <c r="B448" s="1">
        <v>44870</v>
      </c>
      <c r="C448" s="1">
        <v>44870</v>
      </c>
      <c r="D448" t="s">
        <v>7</v>
      </c>
      <c r="E448">
        <v>39</v>
      </c>
      <c r="F448" t="s">
        <v>6</v>
      </c>
      <c r="G448" s="19">
        <v>0</v>
      </c>
      <c r="H448" t="s">
        <v>66</v>
      </c>
      <c r="I448">
        <v>2022</v>
      </c>
    </row>
    <row r="449" spans="1:9" x14ac:dyDescent="0.3">
      <c r="A449">
        <v>155334332</v>
      </c>
      <c r="B449" s="1">
        <v>44870</v>
      </c>
      <c r="C449" s="1">
        <v>44899</v>
      </c>
      <c r="D449" t="s">
        <v>7</v>
      </c>
      <c r="E449">
        <v>39</v>
      </c>
      <c r="F449" t="s">
        <v>6</v>
      </c>
      <c r="G449" s="19">
        <v>29</v>
      </c>
      <c r="H449" t="s">
        <v>66</v>
      </c>
      <c r="I449">
        <v>2022</v>
      </c>
    </row>
    <row r="450" spans="1:9" x14ac:dyDescent="0.3">
      <c r="A450">
        <v>160523170</v>
      </c>
      <c r="B450" s="1">
        <v>44870</v>
      </c>
      <c r="C450" s="1">
        <v>44907</v>
      </c>
      <c r="D450" t="s">
        <v>7</v>
      </c>
      <c r="E450">
        <v>39</v>
      </c>
      <c r="F450" t="s">
        <v>6</v>
      </c>
      <c r="G450" s="19">
        <v>37</v>
      </c>
      <c r="H450" t="s">
        <v>66</v>
      </c>
      <c r="I450">
        <v>2022</v>
      </c>
    </row>
    <row r="451" spans="1:9" x14ac:dyDescent="0.3">
      <c r="A451">
        <v>156907890</v>
      </c>
      <c r="B451" s="1">
        <v>44870</v>
      </c>
      <c r="C451" s="1">
        <v>44870</v>
      </c>
      <c r="D451" t="s">
        <v>7</v>
      </c>
      <c r="E451">
        <v>39</v>
      </c>
      <c r="F451" t="s">
        <v>6</v>
      </c>
      <c r="G451" s="19">
        <v>0</v>
      </c>
      <c r="H451" t="s">
        <v>66</v>
      </c>
      <c r="I451">
        <v>2022</v>
      </c>
    </row>
    <row r="452" spans="1:9" x14ac:dyDescent="0.3">
      <c r="A452">
        <v>160608516</v>
      </c>
      <c r="B452" s="1">
        <v>44870</v>
      </c>
      <c r="C452" s="1">
        <v>45141</v>
      </c>
      <c r="D452" t="s">
        <v>7</v>
      </c>
      <c r="E452">
        <v>39</v>
      </c>
      <c r="F452" t="s">
        <v>6</v>
      </c>
      <c r="G452" s="19">
        <v>271</v>
      </c>
      <c r="H452" t="s">
        <v>66</v>
      </c>
      <c r="I452">
        <v>2022</v>
      </c>
    </row>
    <row r="453" spans="1:9" x14ac:dyDescent="0.3">
      <c r="A453">
        <v>113181220</v>
      </c>
      <c r="B453" s="1">
        <v>44870</v>
      </c>
      <c r="C453" s="1">
        <v>45130</v>
      </c>
      <c r="D453" t="s">
        <v>7</v>
      </c>
      <c r="E453">
        <v>39</v>
      </c>
      <c r="F453" t="s">
        <v>6</v>
      </c>
      <c r="G453" s="19">
        <v>260</v>
      </c>
      <c r="H453" t="s">
        <v>66</v>
      </c>
      <c r="I453">
        <v>2022</v>
      </c>
    </row>
    <row r="454" spans="1:9" x14ac:dyDescent="0.3">
      <c r="A454">
        <v>159790393</v>
      </c>
      <c r="B454" s="1">
        <v>44871</v>
      </c>
      <c r="C454" s="1">
        <v>44970</v>
      </c>
      <c r="D454" t="s">
        <v>7</v>
      </c>
      <c r="E454">
        <v>39</v>
      </c>
      <c r="F454" t="s">
        <v>6</v>
      </c>
      <c r="G454" s="19">
        <v>99</v>
      </c>
      <c r="H454" t="s">
        <v>60</v>
      </c>
      <c r="I454">
        <v>2022</v>
      </c>
    </row>
    <row r="455" spans="1:9" x14ac:dyDescent="0.3">
      <c r="A455">
        <v>147813476</v>
      </c>
      <c r="B455" s="1">
        <v>44871</v>
      </c>
      <c r="C455" s="1">
        <v>44953</v>
      </c>
      <c r="D455" t="s">
        <v>7</v>
      </c>
      <c r="E455">
        <v>39</v>
      </c>
      <c r="F455" t="s">
        <v>6</v>
      </c>
      <c r="G455" s="19">
        <v>82</v>
      </c>
      <c r="H455" t="s">
        <v>60</v>
      </c>
      <c r="I455">
        <v>2022</v>
      </c>
    </row>
    <row r="456" spans="1:9" x14ac:dyDescent="0.3">
      <c r="A456">
        <v>156078158</v>
      </c>
      <c r="B456" s="1">
        <v>44871</v>
      </c>
      <c r="C456" s="1">
        <v>44951</v>
      </c>
      <c r="D456" t="s">
        <v>7</v>
      </c>
      <c r="E456">
        <v>39</v>
      </c>
      <c r="F456" t="s">
        <v>6</v>
      </c>
      <c r="G456" s="19">
        <v>80</v>
      </c>
      <c r="H456" t="s">
        <v>60</v>
      </c>
      <c r="I456">
        <v>2022</v>
      </c>
    </row>
    <row r="457" spans="1:9" x14ac:dyDescent="0.3">
      <c r="A457">
        <v>154879898</v>
      </c>
      <c r="B457" s="1">
        <v>44871</v>
      </c>
      <c r="C457" s="1">
        <v>44882</v>
      </c>
      <c r="D457" t="s">
        <v>7</v>
      </c>
      <c r="E457">
        <v>39</v>
      </c>
      <c r="F457" t="s">
        <v>6</v>
      </c>
      <c r="G457" s="19">
        <v>11</v>
      </c>
      <c r="H457" t="s">
        <v>60</v>
      </c>
      <c r="I457">
        <v>2022</v>
      </c>
    </row>
    <row r="458" spans="1:9" x14ac:dyDescent="0.3">
      <c r="A458">
        <v>136157937</v>
      </c>
      <c r="B458" s="1">
        <v>44871</v>
      </c>
      <c r="C458" s="1">
        <v>44908</v>
      </c>
      <c r="D458" t="s">
        <v>7</v>
      </c>
      <c r="E458">
        <v>39</v>
      </c>
      <c r="F458" t="s">
        <v>6</v>
      </c>
      <c r="G458" s="19">
        <v>37</v>
      </c>
      <c r="H458" t="s">
        <v>60</v>
      </c>
      <c r="I458">
        <v>2022</v>
      </c>
    </row>
    <row r="459" spans="1:9" x14ac:dyDescent="0.3">
      <c r="A459">
        <v>160176868</v>
      </c>
      <c r="B459" s="1">
        <v>44871</v>
      </c>
      <c r="C459" s="1">
        <v>44896</v>
      </c>
      <c r="D459" t="s">
        <v>7</v>
      </c>
      <c r="E459">
        <v>39</v>
      </c>
      <c r="F459" t="s">
        <v>6</v>
      </c>
      <c r="G459" s="19">
        <v>25</v>
      </c>
      <c r="H459" t="s">
        <v>60</v>
      </c>
      <c r="I459">
        <v>2022</v>
      </c>
    </row>
    <row r="460" spans="1:9" x14ac:dyDescent="0.3">
      <c r="A460">
        <v>160622888</v>
      </c>
      <c r="B460" s="1">
        <v>44871</v>
      </c>
      <c r="C460" s="1">
        <v>44871</v>
      </c>
      <c r="D460" t="s">
        <v>7</v>
      </c>
      <c r="E460">
        <v>39</v>
      </c>
      <c r="F460" t="s">
        <v>6</v>
      </c>
      <c r="G460" s="19">
        <v>0</v>
      </c>
      <c r="H460" t="s">
        <v>60</v>
      </c>
      <c r="I460">
        <v>2022</v>
      </c>
    </row>
    <row r="461" spans="1:9" x14ac:dyDescent="0.3">
      <c r="A461">
        <v>158736659</v>
      </c>
      <c r="B461" s="1">
        <v>44872</v>
      </c>
      <c r="D461" t="s">
        <v>7</v>
      </c>
      <c r="E461">
        <v>39</v>
      </c>
      <c r="F461" t="s">
        <v>6</v>
      </c>
      <c r="H461" t="s">
        <v>61</v>
      </c>
      <c r="I461">
        <v>2022</v>
      </c>
    </row>
    <row r="462" spans="1:9" x14ac:dyDescent="0.3">
      <c r="A462">
        <v>160813660</v>
      </c>
      <c r="B462" s="1">
        <v>44872</v>
      </c>
      <c r="D462" t="s">
        <v>7</v>
      </c>
      <c r="E462">
        <v>39</v>
      </c>
      <c r="F462" t="s">
        <v>6</v>
      </c>
      <c r="H462" t="s">
        <v>61</v>
      </c>
      <c r="I462">
        <v>2022</v>
      </c>
    </row>
    <row r="463" spans="1:9" x14ac:dyDescent="0.3">
      <c r="A463">
        <v>158524240</v>
      </c>
      <c r="B463" s="1">
        <v>44872</v>
      </c>
      <c r="D463" t="s">
        <v>7</v>
      </c>
      <c r="E463">
        <v>39</v>
      </c>
      <c r="F463" t="s">
        <v>6</v>
      </c>
      <c r="H463" t="s">
        <v>61</v>
      </c>
      <c r="I463">
        <v>2022</v>
      </c>
    </row>
    <row r="464" spans="1:9" x14ac:dyDescent="0.3">
      <c r="A464">
        <v>160702738</v>
      </c>
      <c r="B464" s="1">
        <v>44872</v>
      </c>
      <c r="D464" t="s">
        <v>7</v>
      </c>
      <c r="E464">
        <v>39</v>
      </c>
      <c r="F464" t="s">
        <v>6</v>
      </c>
      <c r="H464" t="s">
        <v>61</v>
      </c>
      <c r="I464">
        <v>2022</v>
      </c>
    </row>
    <row r="465" spans="1:9" x14ac:dyDescent="0.3">
      <c r="A465">
        <v>138919619</v>
      </c>
      <c r="B465" s="1">
        <v>44872</v>
      </c>
      <c r="C465" s="1">
        <v>44901</v>
      </c>
      <c r="D465" t="s">
        <v>7</v>
      </c>
      <c r="E465">
        <v>39</v>
      </c>
      <c r="F465" t="s">
        <v>6</v>
      </c>
      <c r="G465" s="19">
        <v>29</v>
      </c>
      <c r="H465" t="s">
        <v>61</v>
      </c>
      <c r="I465">
        <v>2022</v>
      </c>
    </row>
    <row r="466" spans="1:9" x14ac:dyDescent="0.3">
      <c r="A466">
        <v>121571816</v>
      </c>
      <c r="B466" s="1">
        <v>44872</v>
      </c>
      <c r="C466" s="1">
        <v>45011</v>
      </c>
      <c r="D466" t="s">
        <v>7</v>
      </c>
      <c r="E466">
        <v>39</v>
      </c>
      <c r="F466" t="s">
        <v>6</v>
      </c>
      <c r="G466" s="19">
        <v>139</v>
      </c>
      <c r="H466" t="s">
        <v>61</v>
      </c>
      <c r="I466">
        <v>2022</v>
      </c>
    </row>
    <row r="467" spans="1:9" x14ac:dyDescent="0.3">
      <c r="A467">
        <v>160623955</v>
      </c>
      <c r="B467" s="1">
        <v>44872</v>
      </c>
      <c r="C467" s="1">
        <v>45112</v>
      </c>
      <c r="D467" t="s">
        <v>7</v>
      </c>
      <c r="E467">
        <v>39</v>
      </c>
      <c r="F467" t="s">
        <v>6</v>
      </c>
      <c r="G467" s="19">
        <v>240</v>
      </c>
      <c r="H467" t="s">
        <v>61</v>
      </c>
      <c r="I467">
        <v>2022</v>
      </c>
    </row>
    <row r="468" spans="1:9" x14ac:dyDescent="0.3">
      <c r="A468">
        <v>160010850</v>
      </c>
      <c r="B468" s="1">
        <v>44872</v>
      </c>
      <c r="C468" s="1">
        <v>44994</v>
      </c>
      <c r="D468" t="s">
        <v>7</v>
      </c>
      <c r="E468">
        <v>39</v>
      </c>
      <c r="F468" t="s">
        <v>6</v>
      </c>
      <c r="G468" s="19">
        <v>122</v>
      </c>
      <c r="H468" t="s">
        <v>61</v>
      </c>
      <c r="I468">
        <v>2022</v>
      </c>
    </row>
    <row r="469" spans="1:9" x14ac:dyDescent="0.3">
      <c r="A469">
        <v>160823268</v>
      </c>
      <c r="B469" s="1">
        <v>44872</v>
      </c>
      <c r="C469" s="1">
        <v>44963</v>
      </c>
      <c r="D469" t="s">
        <v>7</v>
      </c>
      <c r="E469">
        <v>39</v>
      </c>
      <c r="F469" t="s">
        <v>6</v>
      </c>
      <c r="G469" s="19">
        <v>91</v>
      </c>
      <c r="H469" t="s">
        <v>61</v>
      </c>
      <c r="I469">
        <v>2022</v>
      </c>
    </row>
    <row r="470" spans="1:9" x14ac:dyDescent="0.3">
      <c r="A470">
        <v>158992873</v>
      </c>
      <c r="B470" s="1">
        <v>44872</v>
      </c>
      <c r="C470" s="1">
        <v>44971</v>
      </c>
      <c r="D470" t="s">
        <v>7</v>
      </c>
      <c r="E470">
        <v>39</v>
      </c>
      <c r="F470" t="s">
        <v>6</v>
      </c>
      <c r="G470" s="19">
        <v>99</v>
      </c>
      <c r="H470" t="s">
        <v>61</v>
      </c>
      <c r="I470">
        <v>2022</v>
      </c>
    </row>
    <row r="471" spans="1:9" x14ac:dyDescent="0.3">
      <c r="A471">
        <v>159878556</v>
      </c>
      <c r="B471" s="1">
        <v>44872</v>
      </c>
      <c r="C471" s="1">
        <v>44902</v>
      </c>
      <c r="D471" t="s">
        <v>7</v>
      </c>
      <c r="E471">
        <v>39</v>
      </c>
      <c r="F471" t="s">
        <v>6</v>
      </c>
      <c r="G471" s="19">
        <v>30</v>
      </c>
      <c r="H471" t="s">
        <v>61</v>
      </c>
      <c r="I471">
        <v>2022</v>
      </c>
    </row>
    <row r="472" spans="1:9" x14ac:dyDescent="0.3">
      <c r="A472">
        <v>160833652</v>
      </c>
      <c r="B472" s="1">
        <v>44872</v>
      </c>
      <c r="C472" s="1">
        <v>44909</v>
      </c>
      <c r="D472" t="s">
        <v>7</v>
      </c>
      <c r="E472">
        <v>39</v>
      </c>
      <c r="F472" t="s">
        <v>6</v>
      </c>
      <c r="G472" s="19">
        <v>37</v>
      </c>
      <c r="H472" t="s">
        <v>61</v>
      </c>
      <c r="I472">
        <v>2022</v>
      </c>
    </row>
    <row r="473" spans="1:9" x14ac:dyDescent="0.3">
      <c r="A473">
        <v>157663870</v>
      </c>
      <c r="B473" s="1">
        <v>44872</v>
      </c>
      <c r="C473" s="1">
        <v>44903</v>
      </c>
      <c r="D473" t="s">
        <v>7</v>
      </c>
      <c r="E473">
        <v>39</v>
      </c>
      <c r="F473" t="s">
        <v>6</v>
      </c>
      <c r="G473" s="19">
        <v>31</v>
      </c>
      <c r="H473" t="s">
        <v>61</v>
      </c>
      <c r="I473">
        <v>2022</v>
      </c>
    </row>
    <row r="474" spans="1:9" x14ac:dyDescent="0.3">
      <c r="A474">
        <v>160615413</v>
      </c>
      <c r="B474" s="1">
        <v>44872</v>
      </c>
      <c r="C474" s="1">
        <v>44920</v>
      </c>
      <c r="D474" t="s">
        <v>7</v>
      </c>
      <c r="E474">
        <v>39</v>
      </c>
      <c r="F474" t="s">
        <v>6</v>
      </c>
      <c r="G474" s="19">
        <v>48</v>
      </c>
      <c r="H474" t="s">
        <v>61</v>
      </c>
      <c r="I474">
        <v>2022</v>
      </c>
    </row>
    <row r="475" spans="1:9" x14ac:dyDescent="0.3">
      <c r="A475">
        <v>156207052</v>
      </c>
      <c r="B475" s="1">
        <v>44872</v>
      </c>
      <c r="C475" s="1">
        <v>44899</v>
      </c>
      <c r="D475" t="s">
        <v>7</v>
      </c>
      <c r="E475">
        <v>39</v>
      </c>
      <c r="F475" t="s">
        <v>6</v>
      </c>
      <c r="G475" s="19">
        <v>27</v>
      </c>
      <c r="H475" t="s">
        <v>61</v>
      </c>
      <c r="I475">
        <v>2022</v>
      </c>
    </row>
    <row r="476" spans="1:9" x14ac:dyDescent="0.3">
      <c r="A476">
        <v>160103792</v>
      </c>
      <c r="B476" s="1">
        <v>44872</v>
      </c>
      <c r="C476" s="1">
        <v>44872</v>
      </c>
      <c r="D476" t="s">
        <v>7</v>
      </c>
      <c r="E476">
        <v>39</v>
      </c>
      <c r="F476" t="s">
        <v>6</v>
      </c>
      <c r="G476" s="19">
        <v>0</v>
      </c>
      <c r="H476" t="s">
        <v>61</v>
      </c>
      <c r="I476">
        <v>2022</v>
      </c>
    </row>
    <row r="477" spans="1:9" x14ac:dyDescent="0.3">
      <c r="A477">
        <v>160969302</v>
      </c>
      <c r="B477" s="1">
        <v>44874</v>
      </c>
      <c r="C477" s="1">
        <v>45168</v>
      </c>
      <c r="D477" t="s">
        <v>7</v>
      </c>
      <c r="E477">
        <v>39</v>
      </c>
      <c r="F477" t="s">
        <v>6</v>
      </c>
      <c r="G477" s="19">
        <v>294</v>
      </c>
      <c r="H477" t="s">
        <v>63</v>
      </c>
      <c r="I477">
        <v>2022</v>
      </c>
    </row>
    <row r="478" spans="1:9" x14ac:dyDescent="0.3">
      <c r="A478">
        <v>149648746</v>
      </c>
      <c r="B478" s="1">
        <v>44874</v>
      </c>
      <c r="C478" s="1">
        <v>45079</v>
      </c>
      <c r="D478" t="s">
        <v>7</v>
      </c>
      <c r="E478">
        <v>39</v>
      </c>
      <c r="F478" t="s">
        <v>6</v>
      </c>
      <c r="G478" s="19">
        <v>205</v>
      </c>
      <c r="H478" t="s">
        <v>63</v>
      </c>
      <c r="I478">
        <v>2022</v>
      </c>
    </row>
    <row r="479" spans="1:9" x14ac:dyDescent="0.3">
      <c r="A479">
        <v>155643390</v>
      </c>
      <c r="B479" s="1">
        <v>44874</v>
      </c>
      <c r="C479" s="1">
        <v>45016</v>
      </c>
      <c r="D479" t="s">
        <v>7</v>
      </c>
      <c r="E479">
        <v>39</v>
      </c>
      <c r="F479" t="s">
        <v>6</v>
      </c>
      <c r="G479" s="19">
        <v>142</v>
      </c>
      <c r="H479" t="s">
        <v>63</v>
      </c>
      <c r="I479">
        <v>2022</v>
      </c>
    </row>
    <row r="480" spans="1:9" x14ac:dyDescent="0.3">
      <c r="A480">
        <v>119294384</v>
      </c>
      <c r="B480" s="1">
        <v>44874</v>
      </c>
      <c r="C480" s="1">
        <v>44987</v>
      </c>
      <c r="D480" t="s">
        <v>7</v>
      </c>
      <c r="E480">
        <v>39</v>
      </c>
      <c r="F480" t="s">
        <v>6</v>
      </c>
      <c r="G480" s="19">
        <v>113</v>
      </c>
      <c r="H480" t="s">
        <v>63</v>
      </c>
      <c r="I480">
        <v>2022</v>
      </c>
    </row>
    <row r="481" spans="1:9" x14ac:dyDescent="0.3">
      <c r="A481">
        <v>160171541</v>
      </c>
      <c r="B481" s="1">
        <v>44874</v>
      </c>
      <c r="C481" s="1">
        <v>44929</v>
      </c>
      <c r="D481" t="s">
        <v>7</v>
      </c>
      <c r="E481">
        <v>39</v>
      </c>
      <c r="F481" t="s">
        <v>6</v>
      </c>
      <c r="G481" s="19">
        <v>55</v>
      </c>
      <c r="H481" t="s">
        <v>63</v>
      </c>
      <c r="I481">
        <v>2022</v>
      </c>
    </row>
    <row r="482" spans="1:9" x14ac:dyDescent="0.3">
      <c r="A482">
        <v>150569213</v>
      </c>
      <c r="B482" s="1">
        <v>44874</v>
      </c>
      <c r="C482" s="1">
        <v>44911</v>
      </c>
      <c r="D482" t="s">
        <v>7</v>
      </c>
      <c r="E482">
        <v>39</v>
      </c>
      <c r="F482" t="s">
        <v>6</v>
      </c>
      <c r="G482" s="19">
        <v>37</v>
      </c>
      <c r="H482" t="s">
        <v>63</v>
      </c>
      <c r="I482">
        <v>2022</v>
      </c>
    </row>
    <row r="483" spans="1:9" x14ac:dyDescent="0.3">
      <c r="A483">
        <v>156710028</v>
      </c>
      <c r="B483" s="1">
        <v>44875</v>
      </c>
      <c r="C483" s="1">
        <v>44992</v>
      </c>
      <c r="D483" t="s">
        <v>7</v>
      </c>
      <c r="E483">
        <v>39</v>
      </c>
      <c r="F483" t="s">
        <v>6</v>
      </c>
      <c r="G483" s="19">
        <v>117</v>
      </c>
      <c r="H483" t="s">
        <v>64</v>
      </c>
      <c r="I483">
        <v>2022</v>
      </c>
    </row>
    <row r="484" spans="1:9" x14ac:dyDescent="0.3">
      <c r="A484">
        <v>157670310</v>
      </c>
      <c r="B484" s="1">
        <v>44875</v>
      </c>
      <c r="C484" s="1">
        <v>44958</v>
      </c>
      <c r="D484" t="s">
        <v>7</v>
      </c>
      <c r="E484">
        <v>39</v>
      </c>
      <c r="F484" t="s">
        <v>6</v>
      </c>
      <c r="G484" s="19">
        <v>83</v>
      </c>
      <c r="H484" t="s">
        <v>64</v>
      </c>
      <c r="I484">
        <v>2022</v>
      </c>
    </row>
    <row r="485" spans="1:9" x14ac:dyDescent="0.3">
      <c r="A485">
        <v>157091067</v>
      </c>
      <c r="B485" s="1">
        <v>44875</v>
      </c>
      <c r="C485" s="1">
        <v>44969</v>
      </c>
      <c r="D485" t="s">
        <v>7</v>
      </c>
      <c r="E485">
        <v>39</v>
      </c>
      <c r="F485" t="s">
        <v>6</v>
      </c>
      <c r="G485" s="19">
        <v>94</v>
      </c>
      <c r="H485" t="s">
        <v>64</v>
      </c>
      <c r="I485">
        <v>2022</v>
      </c>
    </row>
    <row r="486" spans="1:9" x14ac:dyDescent="0.3">
      <c r="A486">
        <v>159639128</v>
      </c>
      <c r="B486" s="1">
        <v>44875</v>
      </c>
      <c r="C486" s="1">
        <v>44875</v>
      </c>
      <c r="D486" t="s">
        <v>7</v>
      </c>
      <c r="E486">
        <v>39</v>
      </c>
      <c r="F486" t="s">
        <v>6</v>
      </c>
      <c r="G486" s="19">
        <v>0</v>
      </c>
      <c r="H486" t="s">
        <v>64</v>
      </c>
      <c r="I486">
        <v>2022</v>
      </c>
    </row>
    <row r="487" spans="1:9" x14ac:dyDescent="0.3">
      <c r="A487">
        <v>149728468</v>
      </c>
      <c r="B487" s="1">
        <v>44876</v>
      </c>
      <c r="C487" s="1">
        <v>44877</v>
      </c>
      <c r="D487" t="s">
        <v>7</v>
      </c>
      <c r="E487">
        <v>39</v>
      </c>
      <c r="F487" t="s">
        <v>6</v>
      </c>
      <c r="G487" s="19">
        <v>1</v>
      </c>
      <c r="H487" t="s">
        <v>65</v>
      </c>
      <c r="I487">
        <v>2022</v>
      </c>
    </row>
    <row r="488" spans="1:9" x14ac:dyDescent="0.3">
      <c r="A488">
        <v>160714172</v>
      </c>
      <c r="B488" s="1">
        <v>44876</v>
      </c>
      <c r="C488" s="1">
        <v>44926</v>
      </c>
      <c r="D488" t="s">
        <v>7</v>
      </c>
      <c r="E488">
        <v>39</v>
      </c>
      <c r="F488" t="s">
        <v>6</v>
      </c>
      <c r="G488" s="19">
        <v>50</v>
      </c>
      <c r="H488" t="s">
        <v>65</v>
      </c>
      <c r="I488">
        <v>2022</v>
      </c>
    </row>
    <row r="489" spans="1:9" x14ac:dyDescent="0.3">
      <c r="A489">
        <v>161464205</v>
      </c>
      <c r="B489" s="1">
        <v>44876</v>
      </c>
      <c r="C489" s="1">
        <v>44911</v>
      </c>
      <c r="D489" t="s">
        <v>7</v>
      </c>
      <c r="E489">
        <v>39</v>
      </c>
      <c r="F489" t="s">
        <v>6</v>
      </c>
      <c r="G489" s="19">
        <v>35</v>
      </c>
      <c r="H489" t="s">
        <v>65</v>
      </c>
      <c r="I489">
        <v>2022</v>
      </c>
    </row>
    <row r="490" spans="1:9" x14ac:dyDescent="0.3">
      <c r="A490">
        <v>141084753</v>
      </c>
      <c r="B490" s="1">
        <v>44877</v>
      </c>
      <c r="C490" s="1">
        <v>45035</v>
      </c>
      <c r="D490" t="s">
        <v>7</v>
      </c>
      <c r="E490">
        <v>39</v>
      </c>
      <c r="F490" t="s">
        <v>6</v>
      </c>
      <c r="G490" s="19">
        <v>158</v>
      </c>
      <c r="H490" t="s">
        <v>66</v>
      </c>
      <c r="I490">
        <v>2022</v>
      </c>
    </row>
    <row r="491" spans="1:9" x14ac:dyDescent="0.3">
      <c r="A491">
        <v>161768948</v>
      </c>
      <c r="B491" s="1">
        <v>44877</v>
      </c>
      <c r="C491" s="1">
        <v>45021</v>
      </c>
      <c r="D491" t="s">
        <v>7</v>
      </c>
      <c r="E491">
        <v>39</v>
      </c>
      <c r="F491" t="s">
        <v>6</v>
      </c>
      <c r="G491" s="19">
        <v>144</v>
      </c>
      <c r="H491" t="s">
        <v>66</v>
      </c>
      <c r="I491">
        <v>2022</v>
      </c>
    </row>
    <row r="492" spans="1:9" x14ac:dyDescent="0.3">
      <c r="A492">
        <v>161692109</v>
      </c>
      <c r="B492" s="1">
        <v>44877</v>
      </c>
      <c r="C492" s="1">
        <v>44976</v>
      </c>
      <c r="D492" t="s">
        <v>7</v>
      </c>
      <c r="E492">
        <v>39</v>
      </c>
      <c r="F492" t="s">
        <v>6</v>
      </c>
      <c r="G492" s="19">
        <v>99</v>
      </c>
      <c r="H492" t="s">
        <v>66</v>
      </c>
      <c r="I492">
        <v>2022</v>
      </c>
    </row>
    <row r="493" spans="1:9" x14ac:dyDescent="0.3">
      <c r="A493">
        <v>161424706</v>
      </c>
      <c r="B493" s="1">
        <v>44877</v>
      </c>
      <c r="C493" s="1">
        <v>44904</v>
      </c>
      <c r="D493" t="s">
        <v>7</v>
      </c>
      <c r="E493">
        <v>39</v>
      </c>
      <c r="F493" t="s">
        <v>6</v>
      </c>
      <c r="G493" s="19">
        <v>27</v>
      </c>
      <c r="H493" t="s">
        <v>66</v>
      </c>
      <c r="I493">
        <v>2022</v>
      </c>
    </row>
    <row r="494" spans="1:9" x14ac:dyDescent="0.3">
      <c r="A494">
        <v>153186137</v>
      </c>
      <c r="B494" s="1">
        <v>44877</v>
      </c>
      <c r="C494" s="1">
        <v>44877</v>
      </c>
      <c r="D494" t="s">
        <v>7</v>
      </c>
      <c r="E494">
        <v>39</v>
      </c>
      <c r="F494" t="s">
        <v>6</v>
      </c>
      <c r="G494" s="19">
        <v>0</v>
      </c>
      <c r="H494" t="s">
        <v>66</v>
      </c>
      <c r="I494">
        <v>2022</v>
      </c>
    </row>
    <row r="495" spans="1:9" x14ac:dyDescent="0.3">
      <c r="A495">
        <v>158906669</v>
      </c>
      <c r="B495" s="1">
        <v>44878</v>
      </c>
      <c r="C495" s="1">
        <v>44969</v>
      </c>
      <c r="D495" t="s">
        <v>7</v>
      </c>
      <c r="E495">
        <v>39</v>
      </c>
      <c r="F495" t="s">
        <v>6</v>
      </c>
      <c r="G495" s="19">
        <v>91</v>
      </c>
      <c r="H495" t="s">
        <v>60</v>
      </c>
      <c r="I495">
        <v>2022</v>
      </c>
    </row>
    <row r="496" spans="1:9" x14ac:dyDescent="0.3">
      <c r="A496">
        <v>154085972</v>
      </c>
      <c r="B496" s="1">
        <v>44878</v>
      </c>
      <c r="C496" s="1">
        <v>44900</v>
      </c>
      <c r="D496" t="s">
        <v>7</v>
      </c>
      <c r="E496">
        <v>39</v>
      </c>
      <c r="F496" t="s">
        <v>6</v>
      </c>
      <c r="G496" s="19">
        <v>22</v>
      </c>
      <c r="H496" t="s">
        <v>60</v>
      </c>
      <c r="I496">
        <v>2022</v>
      </c>
    </row>
    <row r="497" spans="1:9" x14ac:dyDescent="0.3">
      <c r="A497">
        <v>162409676</v>
      </c>
      <c r="B497" s="1">
        <v>44879</v>
      </c>
      <c r="D497" t="s">
        <v>7</v>
      </c>
      <c r="E497">
        <v>39</v>
      </c>
      <c r="F497" t="s">
        <v>6</v>
      </c>
      <c r="H497" t="s">
        <v>61</v>
      </c>
      <c r="I497">
        <v>2022</v>
      </c>
    </row>
    <row r="498" spans="1:9" x14ac:dyDescent="0.3">
      <c r="A498">
        <v>157438261</v>
      </c>
      <c r="B498" s="1">
        <v>44879</v>
      </c>
      <c r="D498" t="s">
        <v>7</v>
      </c>
      <c r="E498">
        <v>39</v>
      </c>
      <c r="F498" t="s">
        <v>6</v>
      </c>
      <c r="H498" t="s">
        <v>61</v>
      </c>
      <c r="I498">
        <v>2022</v>
      </c>
    </row>
    <row r="499" spans="1:9" x14ac:dyDescent="0.3">
      <c r="A499">
        <v>132579012</v>
      </c>
      <c r="B499" s="1">
        <v>44879</v>
      </c>
      <c r="C499" s="1">
        <v>44999</v>
      </c>
      <c r="D499" t="s">
        <v>7</v>
      </c>
      <c r="E499">
        <v>39</v>
      </c>
      <c r="F499" t="s">
        <v>6</v>
      </c>
      <c r="G499" s="19">
        <v>120</v>
      </c>
      <c r="H499" t="s">
        <v>61</v>
      </c>
      <c r="I499">
        <v>2022</v>
      </c>
    </row>
    <row r="500" spans="1:9" x14ac:dyDescent="0.3">
      <c r="A500">
        <v>129140042</v>
      </c>
      <c r="B500" s="1">
        <v>44879</v>
      </c>
      <c r="C500" s="1">
        <v>44966</v>
      </c>
      <c r="D500" t="s">
        <v>7</v>
      </c>
      <c r="E500">
        <v>39</v>
      </c>
      <c r="F500" t="s">
        <v>6</v>
      </c>
      <c r="G500" s="19">
        <v>87</v>
      </c>
      <c r="H500" t="s">
        <v>61</v>
      </c>
      <c r="I500">
        <v>2022</v>
      </c>
    </row>
    <row r="501" spans="1:9" x14ac:dyDescent="0.3">
      <c r="A501">
        <v>147100996</v>
      </c>
      <c r="B501" s="1">
        <v>44879</v>
      </c>
      <c r="C501" s="1">
        <v>44941</v>
      </c>
      <c r="D501" t="s">
        <v>7</v>
      </c>
      <c r="E501">
        <v>39</v>
      </c>
      <c r="F501" t="s">
        <v>6</v>
      </c>
      <c r="G501" s="19">
        <v>62</v>
      </c>
      <c r="H501" t="s">
        <v>61</v>
      </c>
      <c r="I501">
        <v>2022</v>
      </c>
    </row>
    <row r="502" spans="1:9" x14ac:dyDescent="0.3">
      <c r="A502">
        <v>158437198</v>
      </c>
      <c r="B502" s="1">
        <v>44879</v>
      </c>
      <c r="C502" s="1">
        <v>45011</v>
      </c>
      <c r="D502" t="s">
        <v>7</v>
      </c>
      <c r="E502">
        <v>39</v>
      </c>
      <c r="F502" t="s">
        <v>6</v>
      </c>
      <c r="G502" s="19">
        <v>132</v>
      </c>
      <c r="H502" t="s">
        <v>61</v>
      </c>
      <c r="I502">
        <v>2022</v>
      </c>
    </row>
    <row r="503" spans="1:9" x14ac:dyDescent="0.3">
      <c r="A503">
        <v>162343403</v>
      </c>
      <c r="B503" s="1">
        <v>44879</v>
      </c>
      <c r="C503" s="1">
        <v>45001</v>
      </c>
      <c r="D503" t="s">
        <v>7</v>
      </c>
      <c r="E503">
        <v>39</v>
      </c>
      <c r="F503" t="s">
        <v>6</v>
      </c>
      <c r="G503" s="19">
        <v>122</v>
      </c>
      <c r="H503" t="s">
        <v>61</v>
      </c>
      <c r="I503">
        <v>2022</v>
      </c>
    </row>
    <row r="504" spans="1:9" x14ac:dyDescent="0.3">
      <c r="A504">
        <v>162218672</v>
      </c>
      <c r="B504" s="1">
        <v>44879</v>
      </c>
      <c r="C504" s="1">
        <v>44994</v>
      </c>
      <c r="D504" t="s">
        <v>7</v>
      </c>
      <c r="E504">
        <v>39</v>
      </c>
      <c r="F504" t="s">
        <v>6</v>
      </c>
      <c r="G504" s="19">
        <v>115</v>
      </c>
      <c r="H504" t="s">
        <v>61</v>
      </c>
      <c r="I504">
        <v>2022</v>
      </c>
    </row>
    <row r="505" spans="1:9" x14ac:dyDescent="0.3">
      <c r="A505">
        <v>120738319</v>
      </c>
      <c r="B505" s="1">
        <v>44879</v>
      </c>
      <c r="C505" s="1">
        <v>45019</v>
      </c>
      <c r="D505" t="s">
        <v>7</v>
      </c>
      <c r="E505">
        <v>39</v>
      </c>
      <c r="F505" t="s">
        <v>6</v>
      </c>
      <c r="G505" s="19">
        <v>140</v>
      </c>
      <c r="H505" t="s">
        <v>61</v>
      </c>
      <c r="I505">
        <v>2022</v>
      </c>
    </row>
    <row r="506" spans="1:9" x14ac:dyDescent="0.3">
      <c r="A506">
        <v>162147786</v>
      </c>
      <c r="B506" s="1">
        <v>44879</v>
      </c>
      <c r="C506" s="1">
        <v>45030</v>
      </c>
      <c r="D506" t="s">
        <v>7</v>
      </c>
      <c r="E506">
        <v>39</v>
      </c>
      <c r="F506" t="s">
        <v>6</v>
      </c>
      <c r="G506" s="19">
        <v>151</v>
      </c>
      <c r="H506" t="s">
        <v>61</v>
      </c>
      <c r="I506">
        <v>2022</v>
      </c>
    </row>
    <row r="507" spans="1:9" x14ac:dyDescent="0.3">
      <c r="A507">
        <v>153165084</v>
      </c>
      <c r="B507" s="1">
        <v>44879</v>
      </c>
      <c r="C507" s="1">
        <v>44965</v>
      </c>
      <c r="D507" t="s">
        <v>7</v>
      </c>
      <c r="E507">
        <v>39</v>
      </c>
      <c r="F507" t="s">
        <v>6</v>
      </c>
      <c r="G507" s="19">
        <v>86</v>
      </c>
      <c r="H507" t="s">
        <v>61</v>
      </c>
      <c r="I507">
        <v>2022</v>
      </c>
    </row>
    <row r="508" spans="1:9" x14ac:dyDescent="0.3">
      <c r="A508">
        <v>161815335</v>
      </c>
      <c r="B508" s="1">
        <v>44879</v>
      </c>
      <c r="C508" s="1">
        <v>44976</v>
      </c>
      <c r="D508" t="s">
        <v>7</v>
      </c>
      <c r="E508">
        <v>39</v>
      </c>
      <c r="F508" t="s">
        <v>6</v>
      </c>
      <c r="G508" s="19">
        <v>97</v>
      </c>
      <c r="H508" t="s">
        <v>61</v>
      </c>
      <c r="I508">
        <v>2022</v>
      </c>
    </row>
    <row r="509" spans="1:9" x14ac:dyDescent="0.3">
      <c r="A509">
        <v>162294529</v>
      </c>
      <c r="B509" s="1">
        <v>44879</v>
      </c>
      <c r="C509" s="1">
        <v>44964</v>
      </c>
      <c r="D509" t="s">
        <v>7</v>
      </c>
      <c r="E509">
        <v>39</v>
      </c>
      <c r="F509" t="s">
        <v>6</v>
      </c>
      <c r="G509" s="19">
        <v>85</v>
      </c>
      <c r="H509" t="s">
        <v>61</v>
      </c>
      <c r="I509">
        <v>2022</v>
      </c>
    </row>
    <row r="510" spans="1:9" x14ac:dyDescent="0.3">
      <c r="A510">
        <v>162176080</v>
      </c>
      <c r="B510" s="1">
        <v>44879</v>
      </c>
      <c r="C510" s="1">
        <v>44962</v>
      </c>
      <c r="D510" t="s">
        <v>7</v>
      </c>
      <c r="E510">
        <v>39</v>
      </c>
      <c r="F510" t="s">
        <v>6</v>
      </c>
      <c r="G510" s="19">
        <v>83</v>
      </c>
      <c r="H510" t="s">
        <v>61</v>
      </c>
      <c r="I510">
        <v>2022</v>
      </c>
    </row>
    <row r="511" spans="1:9" x14ac:dyDescent="0.3">
      <c r="A511">
        <v>162412232</v>
      </c>
      <c r="B511" s="1">
        <v>44879</v>
      </c>
      <c r="C511" s="1">
        <v>44916</v>
      </c>
      <c r="D511" t="s">
        <v>7</v>
      </c>
      <c r="E511">
        <v>39</v>
      </c>
      <c r="F511" t="s">
        <v>6</v>
      </c>
      <c r="G511" s="19">
        <v>37</v>
      </c>
      <c r="H511" t="s">
        <v>61</v>
      </c>
      <c r="I511">
        <v>2022</v>
      </c>
    </row>
    <row r="512" spans="1:9" x14ac:dyDescent="0.3">
      <c r="A512">
        <v>158575772</v>
      </c>
      <c r="B512" s="1">
        <v>44879</v>
      </c>
      <c r="C512" s="1">
        <v>44911</v>
      </c>
      <c r="D512" t="s">
        <v>7</v>
      </c>
      <c r="E512">
        <v>39</v>
      </c>
      <c r="F512" t="s">
        <v>6</v>
      </c>
      <c r="G512" s="19">
        <v>32</v>
      </c>
      <c r="H512" t="s">
        <v>61</v>
      </c>
      <c r="I512">
        <v>2022</v>
      </c>
    </row>
    <row r="513" spans="1:9" x14ac:dyDescent="0.3">
      <c r="A513">
        <v>162247173</v>
      </c>
      <c r="B513" s="1">
        <v>44879</v>
      </c>
      <c r="C513" s="1">
        <v>44906</v>
      </c>
      <c r="D513" t="s">
        <v>7</v>
      </c>
      <c r="E513">
        <v>39</v>
      </c>
      <c r="F513" t="s">
        <v>6</v>
      </c>
      <c r="G513" s="19">
        <v>27</v>
      </c>
      <c r="H513" t="s">
        <v>61</v>
      </c>
      <c r="I513">
        <v>2022</v>
      </c>
    </row>
    <row r="514" spans="1:9" x14ac:dyDescent="0.3">
      <c r="A514">
        <v>153630282</v>
      </c>
      <c r="B514" s="1">
        <v>44879</v>
      </c>
      <c r="C514" s="1">
        <v>44903</v>
      </c>
      <c r="D514" t="s">
        <v>7</v>
      </c>
      <c r="E514">
        <v>39</v>
      </c>
      <c r="F514" t="s">
        <v>6</v>
      </c>
      <c r="G514" s="19">
        <v>24</v>
      </c>
      <c r="H514" t="s">
        <v>61</v>
      </c>
      <c r="I514">
        <v>2022</v>
      </c>
    </row>
    <row r="515" spans="1:9" x14ac:dyDescent="0.3">
      <c r="A515">
        <v>156699431</v>
      </c>
      <c r="B515" s="1">
        <v>44879</v>
      </c>
      <c r="C515" s="1">
        <v>44888</v>
      </c>
      <c r="D515" t="s">
        <v>7</v>
      </c>
      <c r="E515">
        <v>39</v>
      </c>
      <c r="F515" t="s">
        <v>6</v>
      </c>
      <c r="G515" s="19">
        <v>9</v>
      </c>
      <c r="H515" t="s">
        <v>61</v>
      </c>
      <c r="I515">
        <v>2022</v>
      </c>
    </row>
    <row r="516" spans="1:9" x14ac:dyDescent="0.3">
      <c r="A516">
        <v>148018000</v>
      </c>
      <c r="B516" s="1">
        <v>44879</v>
      </c>
      <c r="C516" s="1">
        <v>45139</v>
      </c>
      <c r="D516" t="s">
        <v>7</v>
      </c>
      <c r="E516">
        <v>39</v>
      </c>
      <c r="F516" t="s">
        <v>6</v>
      </c>
      <c r="G516" s="19">
        <v>260</v>
      </c>
      <c r="H516" t="s">
        <v>61</v>
      </c>
      <c r="I516">
        <v>2022</v>
      </c>
    </row>
    <row r="517" spans="1:9" x14ac:dyDescent="0.3">
      <c r="A517">
        <v>161623906</v>
      </c>
      <c r="B517" s="1">
        <v>44880</v>
      </c>
      <c r="D517" t="s">
        <v>7</v>
      </c>
      <c r="E517">
        <v>39</v>
      </c>
      <c r="F517" t="s">
        <v>6</v>
      </c>
      <c r="H517" t="s">
        <v>62</v>
      </c>
      <c r="I517">
        <v>2022</v>
      </c>
    </row>
    <row r="518" spans="1:9" x14ac:dyDescent="0.3">
      <c r="A518">
        <v>145664226</v>
      </c>
      <c r="B518" s="1">
        <v>44880</v>
      </c>
      <c r="D518" t="s">
        <v>7</v>
      </c>
      <c r="E518">
        <v>39</v>
      </c>
      <c r="F518" t="s">
        <v>6</v>
      </c>
      <c r="H518" t="s">
        <v>62</v>
      </c>
      <c r="I518">
        <v>2022</v>
      </c>
    </row>
    <row r="519" spans="1:9" x14ac:dyDescent="0.3">
      <c r="A519">
        <v>162529715</v>
      </c>
      <c r="B519" s="1">
        <v>44880</v>
      </c>
      <c r="C519" s="1">
        <v>45007</v>
      </c>
      <c r="D519" t="s">
        <v>7</v>
      </c>
      <c r="E519">
        <v>39</v>
      </c>
      <c r="F519" t="s">
        <v>6</v>
      </c>
      <c r="G519" s="19">
        <v>127</v>
      </c>
      <c r="H519" t="s">
        <v>62</v>
      </c>
      <c r="I519">
        <v>2022</v>
      </c>
    </row>
    <row r="520" spans="1:9" x14ac:dyDescent="0.3">
      <c r="A520">
        <v>162581284</v>
      </c>
      <c r="B520" s="1">
        <v>44880</v>
      </c>
      <c r="C520" s="1">
        <v>44906</v>
      </c>
      <c r="D520" t="s">
        <v>7</v>
      </c>
      <c r="E520">
        <v>39</v>
      </c>
      <c r="F520" t="s">
        <v>6</v>
      </c>
      <c r="G520" s="19">
        <v>26</v>
      </c>
      <c r="H520" t="s">
        <v>62</v>
      </c>
      <c r="I520">
        <v>2022</v>
      </c>
    </row>
    <row r="521" spans="1:9" x14ac:dyDescent="0.3">
      <c r="A521">
        <v>152655443</v>
      </c>
      <c r="B521" s="1">
        <v>44880</v>
      </c>
      <c r="C521" s="1">
        <v>44950</v>
      </c>
      <c r="D521" t="s">
        <v>7</v>
      </c>
      <c r="E521">
        <v>39</v>
      </c>
      <c r="F521" t="s">
        <v>6</v>
      </c>
      <c r="G521" s="19">
        <v>70</v>
      </c>
      <c r="H521" t="s">
        <v>62</v>
      </c>
      <c r="I521">
        <v>2022</v>
      </c>
    </row>
    <row r="522" spans="1:9" x14ac:dyDescent="0.3">
      <c r="A522">
        <v>162443327</v>
      </c>
      <c r="B522" s="1">
        <v>44880</v>
      </c>
      <c r="C522" s="1">
        <v>44938</v>
      </c>
      <c r="D522" t="s">
        <v>7</v>
      </c>
      <c r="E522">
        <v>39</v>
      </c>
      <c r="F522" t="s">
        <v>6</v>
      </c>
      <c r="G522" s="19">
        <v>58</v>
      </c>
      <c r="H522" t="s">
        <v>62</v>
      </c>
      <c r="I522">
        <v>2022</v>
      </c>
    </row>
    <row r="523" spans="1:9" x14ac:dyDescent="0.3">
      <c r="A523">
        <v>148348600</v>
      </c>
      <c r="B523" s="1">
        <v>44880</v>
      </c>
      <c r="C523" s="1">
        <v>44908</v>
      </c>
      <c r="D523" t="s">
        <v>7</v>
      </c>
      <c r="E523">
        <v>39</v>
      </c>
      <c r="F523" t="s">
        <v>6</v>
      </c>
      <c r="G523" s="19">
        <v>28</v>
      </c>
      <c r="H523" t="s">
        <v>62</v>
      </c>
      <c r="I523">
        <v>2022</v>
      </c>
    </row>
    <row r="524" spans="1:9" x14ac:dyDescent="0.3">
      <c r="A524">
        <v>162992590</v>
      </c>
      <c r="B524" s="1">
        <v>44881</v>
      </c>
      <c r="D524" t="s">
        <v>7</v>
      </c>
      <c r="E524">
        <v>39</v>
      </c>
      <c r="F524" t="s">
        <v>6</v>
      </c>
      <c r="H524" t="s">
        <v>63</v>
      </c>
      <c r="I524">
        <v>2022</v>
      </c>
    </row>
    <row r="525" spans="1:9" x14ac:dyDescent="0.3">
      <c r="A525">
        <v>156633222</v>
      </c>
      <c r="B525" s="1">
        <v>44881</v>
      </c>
      <c r="C525" s="1">
        <v>44881</v>
      </c>
      <c r="D525" t="s">
        <v>8</v>
      </c>
      <c r="E525">
        <v>39</v>
      </c>
      <c r="F525" t="s">
        <v>6</v>
      </c>
      <c r="G525" s="19">
        <v>0</v>
      </c>
      <c r="H525" t="s">
        <v>63</v>
      </c>
      <c r="I525">
        <v>2022</v>
      </c>
    </row>
    <row r="526" spans="1:9" x14ac:dyDescent="0.3">
      <c r="A526">
        <v>133595094</v>
      </c>
      <c r="B526" s="1">
        <v>44881</v>
      </c>
      <c r="C526" s="1">
        <v>44988</v>
      </c>
      <c r="D526" t="s">
        <v>7</v>
      </c>
      <c r="E526">
        <v>39</v>
      </c>
      <c r="F526" t="s">
        <v>6</v>
      </c>
      <c r="G526" s="19">
        <v>107</v>
      </c>
      <c r="H526" t="s">
        <v>63</v>
      </c>
      <c r="I526">
        <v>2022</v>
      </c>
    </row>
    <row r="527" spans="1:9" x14ac:dyDescent="0.3">
      <c r="A527">
        <v>147770763</v>
      </c>
      <c r="B527" s="1">
        <v>44881</v>
      </c>
      <c r="C527" s="1">
        <v>44988</v>
      </c>
      <c r="D527" t="s">
        <v>7</v>
      </c>
      <c r="E527">
        <v>39</v>
      </c>
      <c r="F527" t="s">
        <v>6</v>
      </c>
      <c r="G527" s="19">
        <v>107</v>
      </c>
      <c r="H527" t="s">
        <v>63</v>
      </c>
      <c r="I527">
        <v>2022</v>
      </c>
    </row>
    <row r="528" spans="1:9" x14ac:dyDescent="0.3">
      <c r="A528">
        <v>155370139</v>
      </c>
      <c r="B528" s="1">
        <v>44881</v>
      </c>
      <c r="C528" s="1">
        <v>45008</v>
      </c>
      <c r="D528" t="s">
        <v>7</v>
      </c>
      <c r="E528">
        <v>39</v>
      </c>
      <c r="F528" t="s">
        <v>6</v>
      </c>
      <c r="G528" s="19">
        <v>127</v>
      </c>
      <c r="H528" t="s">
        <v>63</v>
      </c>
      <c r="I528">
        <v>2022</v>
      </c>
    </row>
    <row r="529" spans="1:9" x14ac:dyDescent="0.3">
      <c r="A529">
        <v>151890876</v>
      </c>
      <c r="B529" s="1">
        <v>44881</v>
      </c>
      <c r="C529" s="1">
        <v>44980</v>
      </c>
      <c r="D529" t="s">
        <v>7</v>
      </c>
      <c r="E529">
        <v>39</v>
      </c>
      <c r="F529" t="s">
        <v>6</v>
      </c>
      <c r="G529" s="19">
        <v>99</v>
      </c>
      <c r="H529" t="s">
        <v>63</v>
      </c>
      <c r="I529">
        <v>2022</v>
      </c>
    </row>
    <row r="530" spans="1:9" x14ac:dyDescent="0.3">
      <c r="A530">
        <v>162920304</v>
      </c>
      <c r="B530" s="1">
        <v>44881</v>
      </c>
      <c r="C530" s="1">
        <v>44941</v>
      </c>
      <c r="D530" t="s">
        <v>7</v>
      </c>
      <c r="E530">
        <v>39</v>
      </c>
      <c r="F530" t="s">
        <v>6</v>
      </c>
      <c r="G530" s="19">
        <v>60</v>
      </c>
      <c r="H530" t="s">
        <v>63</v>
      </c>
      <c r="I530">
        <v>2022</v>
      </c>
    </row>
    <row r="531" spans="1:9" x14ac:dyDescent="0.3">
      <c r="A531">
        <v>148838269</v>
      </c>
      <c r="B531" s="1">
        <v>44881</v>
      </c>
      <c r="C531" s="1">
        <v>44881</v>
      </c>
      <c r="D531" t="s">
        <v>7</v>
      </c>
      <c r="E531">
        <v>39</v>
      </c>
      <c r="F531" t="s">
        <v>6</v>
      </c>
      <c r="G531" s="19">
        <v>0</v>
      </c>
      <c r="H531" t="s">
        <v>63</v>
      </c>
      <c r="I531">
        <v>2022</v>
      </c>
    </row>
    <row r="532" spans="1:9" x14ac:dyDescent="0.3">
      <c r="A532">
        <v>162913792</v>
      </c>
      <c r="B532" s="1">
        <v>44881</v>
      </c>
      <c r="C532" s="1">
        <v>45161</v>
      </c>
      <c r="D532" t="s">
        <v>7</v>
      </c>
      <c r="E532">
        <v>39</v>
      </c>
      <c r="F532" t="s">
        <v>6</v>
      </c>
      <c r="G532" s="19">
        <v>280</v>
      </c>
      <c r="H532" t="s">
        <v>63</v>
      </c>
      <c r="I532">
        <v>2022</v>
      </c>
    </row>
    <row r="533" spans="1:9" x14ac:dyDescent="0.3">
      <c r="A533">
        <v>152316740</v>
      </c>
      <c r="B533" s="1">
        <v>44882</v>
      </c>
      <c r="D533" t="s">
        <v>7</v>
      </c>
      <c r="E533">
        <v>39</v>
      </c>
      <c r="F533" t="s">
        <v>6</v>
      </c>
      <c r="H533" t="s">
        <v>64</v>
      </c>
      <c r="I533">
        <v>2022</v>
      </c>
    </row>
    <row r="534" spans="1:9" x14ac:dyDescent="0.3">
      <c r="A534">
        <v>135480868</v>
      </c>
      <c r="B534" s="1">
        <v>44882</v>
      </c>
      <c r="C534" s="1">
        <v>44952</v>
      </c>
      <c r="D534" t="s">
        <v>7</v>
      </c>
      <c r="E534">
        <v>39</v>
      </c>
      <c r="F534" t="s">
        <v>6</v>
      </c>
      <c r="G534" s="19">
        <v>70</v>
      </c>
      <c r="H534" t="s">
        <v>64</v>
      </c>
      <c r="I534">
        <v>2022</v>
      </c>
    </row>
    <row r="535" spans="1:9" x14ac:dyDescent="0.3">
      <c r="A535">
        <v>136315690</v>
      </c>
      <c r="B535" s="1">
        <v>44882</v>
      </c>
      <c r="C535" s="1">
        <v>44981</v>
      </c>
      <c r="D535" t="s">
        <v>7</v>
      </c>
      <c r="E535">
        <v>39</v>
      </c>
      <c r="F535" t="s">
        <v>6</v>
      </c>
      <c r="G535" s="19">
        <v>99</v>
      </c>
      <c r="H535" t="s">
        <v>64</v>
      </c>
      <c r="I535">
        <v>2022</v>
      </c>
    </row>
    <row r="536" spans="1:9" x14ac:dyDescent="0.3">
      <c r="A536">
        <v>163224262</v>
      </c>
      <c r="B536" s="1">
        <v>44882</v>
      </c>
      <c r="C536" s="1">
        <v>44969</v>
      </c>
      <c r="D536" t="s">
        <v>7</v>
      </c>
      <c r="E536">
        <v>39</v>
      </c>
      <c r="F536" t="s">
        <v>6</v>
      </c>
      <c r="G536" s="19">
        <v>87</v>
      </c>
      <c r="H536" t="s">
        <v>64</v>
      </c>
      <c r="I536">
        <v>2022</v>
      </c>
    </row>
    <row r="537" spans="1:9" x14ac:dyDescent="0.3">
      <c r="A537">
        <v>163330072</v>
      </c>
      <c r="B537" s="1">
        <v>44882</v>
      </c>
      <c r="C537" s="1">
        <v>44950</v>
      </c>
      <c r="D537" t="s">
        <v>7</v>
      </c>
      <c r="E537">
        <v>39</v>
      </c>
      <c r="F537" t="s">
        <v>6</v>
      </c>
      <c r="G537" s="19">
        <v>68</v>
      </c>
      <c r="H537" t="s">
        <v>64</v>
      </c>
      <c r="I537">
        <v>2022</v>
      </c>
    </row>
    <row r="538" spans="1:9" x14ac:dyDescent="0.3">
      <c r="A538">
        <v>134646164</v>
      </c>
      <c r="B538" s="1">
        <v>44882</v>
      </c>
      <c r="C538" s="1">
        <v>44919</v>
      </c>
      <c r="D538" t="s">
        <v>7</v>
      </c>
      <c r="E538">
        <v>39</v>
      </c>
      <c r="F538" t="s">
        <v>6</v>
      </c>
      <c r="G538" s="19">
        <v>37</v>
      </c>
      <c r="H538" t="s">
        <v>64</v>
      </c>
      <c r="I538">
        <v>2022</v>
      </c>
    </row>
    <row r="539" spans="1:9" x14ac:dyDescent="0.3">
      <c r="A539">
        <v>163282336</v>
      </c>
      <c r="B539" s="1">
        <v>44882</v>
      </c>
      <c r="C539" s="1">
        <v>45148</v>
      </c>
      <c r="D539" t="s">
        <v>7</v>
      </c>
      <c r="E539">
        <v>39</v>
      </c>
      <c r="F539" t="s">
        <v>6</v>
      </c>
      <c r="G539" s="19">
        <v>266</v>
      </c>
      <c r="H539" t="s">
        <v>64</v>
      </c>
      <c r="I539">
        <v>2022</v>
      </c>
    </row>
    <row r="540" spans="1:9" x14ac:dyDescent="0.3">
      <c r="A540">
        <v>162490128</v>
      </c>
      <c r="B540" s="1">
        <v>44883</v>
      </c>
      <c r="D540" t="s">
        <v>7</v>
      </c>
      <c r="E540">
        <v>39</v>
      </c>
      <c r="F540" t="s">
        <v>6</v>
      </c>
      <c r="H540" t="s">
        <v>65</v>
      </c>
      <c r="I540">
        <v>2022</v>
      </c>
    </row>
    <row r="541" spans="1:9" x14ac:dyDescent="0.3">
      <c r="A541">
        <v>147122277</v>
      </c>
      <c r="B541" s="1">
        <v>44883</v>
      </c>
      <c r="C541" s="1">
        <v>44884</v>
      </c>
      <c r="D541" t="s">
        <v>8</v>
      </c>
      <c r="E541">
        <v>39</v>
      </c>
      <c r="F541" t="s">
        <v>6</v>
      </c>
      <c r="G541" s="19">
        <v>1</v>
      </c>
      <c r="H541" t="s">
        <v>65</v>
      </c>
      <c r="I541">
        <v>2022</v>
      </c>
    </row>
    <row r="542" spans="1:9" x14ac:dyDescent="0.3">
      <c r="A542">
        <v>163623375</v>
      </c>
      <c r="B542" s="1">
        <v>44883</v>
      </c>
      <c r="C542" s="1">
        <v>44884</v>
      </c>
      <c r="D542" t="s">
        <v>8</v>
      </c>
      <c r="E542">
        <v>39</v>
      </c>
      <c r="F542" t="s">
        <v>6</v>
      </c>
      <c r="G542" s="19">
        <v>1</v>
      </c>
      <c r="H542" t="s">
        <v>65</v>
      </c>
      <c r="I542">
        <v>2022</v>
      </c>
    </row>
    <row r="543" spans="1:9" x14ac:dyDescent="0.3">
      <c r="A543">
        <v>132918654</v>
      </c>
      <c r="B543" s="1">
        <v>44883</v>
      </c>
      <c r="C543" s="1">
        <v>44944</v>
      </c>
      <c r="D543" t="s">
        <v>7</v>
      </c>
      <c r="E543">
        <v>39</v>
      </c>
      <c r="F543" t="s">
        <v>6</v>
      </c>
      <c r="G543" s="19">
        <v>61</v>
      </c>
      <c r="H543" t="s">
        <v>65</v>
      </c>
      <c r="I543">
        <v>2022</v>
      </c>
    </row>
    <row r="544" spans="1:9" x14ac:dyDescent="0.3">
      <c r="A544">
        <v>160601062</v>
      </c>
      <c r="B544" s="1">
        <v>44883</v>
      </c>
      <c r="C544" s="1">
        <v>44935</v>
      </c>
      <c r="D544" t="s">
        <v>7</v>
      </c>
      <c r="E544">
        <v>39</v>
      </c>
      <c r="F544" t="s">
        <v>6</v>
      </c>
      <c r="G544" s="19">
        <v>52</v>
      </c>
      <c r="H544" t="s">
        <v>65</v>
      </c>
      <c r="I544">
        <v>2022</v>
      </c>
    </row>
    <row r="545" spans="1:9" x14ac:dyDescent="0.3">
      <c r="A545">
        <v>144573808</v>
      </c>
      <c r="B545" s="1">
        <v>44883</v>
      </c>
      <c r="C545" s="1">
        <v>44944</v>
      </c>
      <c r="D545" t="s">
        <v>7</v>
      </c>
      <c r="E545">
        <v>39</v>
      </c>
      <c r="F545" t="s">
        <v>6</v>
      </c>
      <c r="G545" s="19">
        <v>61</v>
      </c>
      <c r="H545" t="s">
        <v>65</v>
      </c>
      <c r="I545">
        <v>2022</v>
      </c>
    </row>
    <row r="546" spans="1:9" x14ac:dyDescent="0.3">
      <c r="A546">
        <v>114435366</v>
      </c>
      <c r="B546" s="1">
        <v>44883</v>
      </c>
      <c r="C546" s="1">
        <v>44883</v>
      </c>
      <c r="D546" t="s">
        <v>7</v>
      </c>
      <c r="E546">
        <v>39</v>
      </c>
      <c r="F546" t="s">
        <v>6</v>
      </c>
      <c r="G546" s="19">
        <v>0</v>
      </c>
      <c r="H546" t="s">
        <v>65</v>
      </c>
      <c r="I546">
        <v>2022</v>
      </c>
    </row>
    <row r="547" spans="1:9" x14ac:dyDescent="0.3">
      <c r="A547">
        <v>163399934</v>
      </c>
      <c r="B547" s="1">
        <v>44883</v>
      </c>
      <c r="C547" s="1">
        <v>44883</v>
      </c>
      <c r="D547" t="s">
        <v>7</v>
      </c>
      <c r="E547">
        <v>39</v>
      </c>
      <c r="F547" t="s">
        <v>6</v>
      </c>
      <c r="G547" s="19">
        <v>0</v>
      </c>
      <c r="H547" t="s">
        <v>65</v>
      </c>
      <c r="I547">
        <v>2022</v>
      </c>
    </row>
    <row r="548" spans="1:9" x14ac:dyDescent="0.3">
      <c r="A548">
        <v>133599090</v>
      </c>
      <c r="B548" s="1">
        <v>44884</v>
      </c>
      <c r="C548" s="1">
        <v>44996</v>
      </c>
      <c r="D548" t="s">
        <v>7</v>
      </c>
      <c r="E548">
        <v>39</v>
      </c>
      <c r="F548" t="s">
        <v>6</v>
      </c>
      <c r="G548" s="19">
        <v>112</v>
      </c>
      <c r="H548" t="s">
        <v>66</v>
      </c>
      <c r="I548">
        <v>2022</v>
      </c>
    </row>
    <row r="549" spans="1:9" x14ac:dyDescent="0.3">
      <c r="A549">
        <v>154767246</v>
      </c>
      <c r="B549" s="1">
        <v>44884</v>
      </c>
      <c r="C549" s="1">
        <v>44915</v>
      </c>
      <c r="D549" t="s">
        <v>7</v>
      </c>
      <c r="E549">
        <v>39</v>
      </c>
      <c r="F549" t="s">
        <v>6</v>
      </c>
      <c r="G549" s="19">
        <v>31</v>
      </c>
      <c r="H549" t="s">
        <v>66</v>
      </c>
      <c r="I549">
        <v>2022</v>
      </c>
    </row>
    <row r="550" spans="1:9" x14ac:dyDescent="0.3">
      <c r="A550">
        <v>164085988</v>
      </c>
      <c r="B550" s="1">
        <v>44884</v>
      </c>
      <c r="C550" s="1">
        <v>44915</v>
      </c>
      <c r="D550" t="s">
        <v>7</v>
      </c>
      <c r="E550">
        <v>39</v>
      </c>
      <c r="F550" t="s">
        <v>6</v>
      </c>
      <c r="G550" s="19">
        <v>31</v>
      </c>
      <c r="H550" t="s">
        <v>66</v>
      </c>
      <c r="I550">
        <v>2022</v>
      </c>
    </row>
    <row r="551" spans="1:9" x14ac:dyDescent="0.3">
      <c r="A551">
        <v>164255751</v>
      </c>
      <c r="B551" s="1">
        <v>44885</v>
      </c>
      <c r="C551" s="1">
        <v>45159</v>
      </c>
      <c r="D551" t="s">
        <v>7</v>
      </c>
      <c r="E551">
        <v>39</v>
      </c>
      <c r="F551" t="s">
        <v>6</v>
      </c>
      <c r="G551" s="19">
        <v>274</v>
      </c>
      <c r="H551" t="s">
        <v>60</v>
      </c>
      <c r="I551">
        <v>2022</v>
      </c>
    </row>
    <row r="552" spans="1:9" x14ac:dyDescent="0.3">
      <c r="A552">
        <v>150663530</v>
      </c>
      <c r="B552" s="1">
        <v>44885</v>
      </c>
      <c r="C552" s="1">
        <v>45043</v>
      </c>
      <c r="D552" t="s">
        <v>7</v>
      </c>
      <c r="E552">
        <v>39</v>
      </c>
      <c r="F552" t="s">
        <v>6</v>
      </c>
      <c r="G552" s="19">
        <v>158</v>
      </c>
      <c r="H552" t="s">
        <v>60</v>
      </c>
      <c r="I552">
        <v>2022</v>
      </c>
    </row>
    <row r="553" spans="1:9" x14ac:dyDescent="0.3">
      <c r="A553">
        <v>155333508</v>
      </c>
      <c r="B553" s="1">
        <v>44885</v>
      </c>
      <c r="C553" s="1">
        <v>44945</v>
      </c>
      <c r="D553" t="s">
        <v>7</v>
      </c>
      <c r="E553">
        <v>39</v>
      </c>
      <c r="F553" t="s">
        <v>6</v>
      </c>
      <c r="G553" s="19">
        <v>60</v>
      </c>
      <c r="H553" t="s">
        <v>60</v>
      </c>
      <c r="I553">
        <v>2022</v>
      </c>
    </row>
    <row r="554" spans="1:9" x14ac:dyDescent="0.3">
      <c r="A554">
        <v>163178244</v>
      </c>
      <c r="B554" s="1">
        <v>44886</v>
      </c>
      <c r="D554" t="s">
        <v>8</v>
      </c>
      <c r="E554">
        <v>39</v>
      </c>
      <c r="F554" t="s">
        <v>6</v>
      </c>
      <c r="H554" t="s">
        <v>61</v>
      </c>
      <c r="I554">
        <v>2022</v>
      </c>
    </row>
    <row r="555" spans="1:9" x14ac:dyDescent="0.3">
      <c r="A555">
        <v>130245484</v>
      </c>
      <c r="B555" s="1">
        <v>44886</v>
      </c>
      <c r="C555" s="1">
        <v>44977</v>
      </c>
      <c r="D555" t="s">
        <v>7</v>
      </c>
      <c r="E555">
        <v>39</v>
      </c>
      <c r="F555" t="s">
        <v>6</v>
      </c>
      <c r="G555" s="19">
        <v>91</v>
      </c>
      <c r="H555" t="s">
        <v>61</v>
      </c>
      <c r="I555">
        <v>2022</v>
      </c>
    </row>
    <row r="556" spans="1:9" x14ac:dyDescent="0.3">
      <c r="A556">
        <v>164578320</v>
      </c>
      <c r="B556" s="1">
        <v>44886</v>
      </c>
      <c r="C556" s="1">
        <v>44916</v>
      </c>
      <c r="D556" t="s">
        <v>7</v>
      </c>
      <c r="E556">
        <v>39</v>
      </c>
      <c r="F556" t="s">
        <v>6</v>
      </c>
      <c r="G556" s="19">
        <v>30</v>
      </c>
      <c r="H556" t="s">
        <v>61</v>
      </c>
      <c r="I556">
        <v>2022</v>
      </c>
    </row>
    <row r="557" spans="1:9" x14ac:dyDescent="0.3">
      <c r="A557">
        <v>164542692</v>
      </c>
      <c r="B557" s="1">
        <v>44886</v>
      </c>
      <c r="C557" s="1">
        <v>44923</v>
      </c>
      <c r="D557" t="s">
        <v>7</v>
      </c>
      <c r="E557">
        <v>39</v>
      </c>
      <c r="F557" t="s">
        <v>6</v>
      </c>
      <c r="G557" s="19">
        <v>37</v>
      </c>
      <c r="H557" t="s">
        <v>61</v>
      </c>
      <c r="I557">
        <v>2022</v>
      </c>
    </row>
    <row r="558" spans="1:9" x14ac:dyDescent="0.3">
      <c r="A558">
        <v>164087136</v>
      </c>
      <c r="B558" s="1">
        <v>44887</v>
      </c>
      <c r="D558" t="s">
        <v>7</v>
      </c>
      <c r="E558">
        <v>39</v>
      </c>
      <c r="F558" t="s">
        <v>6</v>
      </c>
      <c r="H558" t="s">
        <v>62</v>
      </c>
      <c r="I558">
        <v>2022</v>
      </c>
    </row>
    <row r="559" spans="1:9" x14ac:dyDescent="0.3">
      <c r="A559">
        <v>155414052</v>
      </c>
      <c r="B559" s="1">
        <v>44887</v>
      </c>
      <c r="C559" s="1">
        <v>44888</v>
      </c>
      <c r="D559" t="s">
        <v>8</v>
      </c>
      <c r="E559">
        <v>39</v>
      </c>
      <c r="F559" t="s">
        <v>6</v>
      </c>
      <c r="G559" s="19">
        <v>1</v>
      </c>
      <c r="H559" t="s">
        <v>62</v>
      </c>
      <c r="I559">
        <v>2022</v>
      </c>
    </row>
    <row r="560" spans="1:9" x14ac:dyDescent="0.3">
      <c r="A560">
        <v>152253972</v>
      </c>
      <c r="B560" s="1">
        <v>44887</v>
      </c>
      <c r="C560" s="1">
        <v>45014</v>
      </c>
      <c r="D560" t="s">
        <v>7</v>
      </c>
      <c r="E560">
        <v>39</v>
      </c>
      <c r="F560" t="s">
        <v>6</v>
      </c>
      <c r="G560" s="19">
        <v>127</v>
      </c>
      <c r="H560" t="s">
        <v>62</v>
      </c>
      <c r="I560">
        <v>2022</v>
      </c>
    </row>
    <row r="561" spans="1:9" x14ac:dyDescent="0.3">
      <c r="A561">
        <v>152754329</v>
      </c>
      <c r="B561" s="1">
        <v>44887</v>
      </c>
      <c r="C561" s="1">
        <v>44949</v>
      </c>
      <c r="D561" t="s">
        <v>7</v>
      </c>
      <c r="E561">
        <v>39</v>
      </c>
      <c r="F561" t="s">
        <v>6</v>
      </c>
      <c r="G561" s="19">
        <v>62</v>
      </c>
      <c r="H561" t="s">
        <v>62</v>
      </c>
      <c r="I561">
        <v>2022</v>
      </c>
    </row>
    <row r="562" spans="1:9" x14ac:dyDescent="0.3">
      <c r="A562">
        <v>159724071</v>
      </c>
      <c r="B562" s="1">
        <v>44888</v>
      </c>
      <c r="C562" s="1">
        <v>44945</v>
      </c>
      <c r="D562" t="s">
        <v>7</v>
      </c>
      <c r="E562">
        <v>39</v>
      </c>
      <c r="F562" t="s">
        <v>6</v>
      </c>
      <c r="G562" s="19">
        <v>57</v>
      </c>
      <c r="H562" t="s">
        <v>63</v>
      </c>
      <c r="I562">
        <v>2022</v>
      </c>
    </row>
    <row r="563" spans="1:9" x14ac:dyDescent="0.3">
      <c r="A563">
        <v>165164673</v>
      </c>
      <c r="B563" s="1">
        <v>44888</v>
      </c>
      <c r="C563" s="1">
        <v>44891</v>
      </c>
      <c r="D563" t="s">
        <v>7</v>
      </c>
      <c r="E563">
        <v>39</v>
      </c>
      <c r="F563" t="s">
        <v>6</v>
      </c>
      <c r="G563" s="19">
        <v>3</v>
      </c>
      <c r="H563" t="s">
        <v>63</v>
      </c>
      <c r="I563">
        <v>2022</v>
      </c>
    </row>
    <row r="564" spans="1:9" x14ac:dyDescent="0.3">
      <c r="A564">
        <v>165529460</v>
      </c>
      <c r="B564" s="1">
        <v>44889</v>
      </c>
      <c r="C564" s="1">
        <v>45037</v>
      </c>
      <c r="D564" t="s">
        <v>7</v>
      </c>
      <c r="E564">
        <v>39</v>
      </c>
      <c r="F564" t="s">
        <v>6</v>
      </c>
      <c r="G564" s="19">
        <v>148</v>
      </c>
      <c r="H564" t="s">
        <v>64</v>
      </c>
      <c r="I564">
        <v>2022</v>
      </c>
    </row>
    <row r="565" spans="1:9" x14ac:dyDescent="0.3">
      <c r="A565">
        <v>163362190</v>
      </c>
      <c r="B565" s="1">
        <v>44890</v>
      </c>
      <c r="D565" t="s">
        <v>7</v>
      </c>
      <c r="E565">
        <v>39</v>
      </c>
      <c r="F565" t="s">
        <v>6</v>
      </c>
      <c r="H565" t="s">
        <v>65</v>
      </c>
      <c r="I565">
        <v>2022</v>
      </c>
    </row>
    <row r="566" spans="1:9" x14ac:dyDescent="0.3">
      <c r="A566">
        <v>155810350</v>
      </c>
      <c r="B566" s="1">
        <v>44890</v>
      </c>
      <c r="C566" s="1">
        <v>44917</v>
      </c>
      <c r="D566" t="s">
        <v>7</v>
      </c>
      <c r="E566">
        <v>39</v>
      </c>
      <c r="F566" t="s">
        <v>6</v>
      </c>
      <c r="G566" s="19">
        <v>27</v>
      </c>
      <c r="H566" t="s">
        <v>65</v>
      </c>
      <c r="I566">
        <v>2022</v>
      </c>
    </row>
    <row r="567" spans="1:9" x14ac:dyDescent="0.3">
      <c r="A567">
        <v>161793136</v>
      </c>
      <c r="B567" s="1">
        <v>44890</v>
      </c>
      <c r="C567" s="1">
        <v>45090</v>
      </c>
      <c r="D567" t="s">
        <v>7</v>
      </c>
      <c r="E567">
        <v>39</v>
      </c>
      <c r="F567" t="s">
        <v>6</v>
      </c>
      <c r="G567" s="19">
        <v>200</v>
      </c>
      <c r="H567" t="s">
        <v>65</v>
      </c>
      <c r="I567">
        <v>2022</v>
      </c>
    </row>
    <row r="568" spans="1:9" x14ac:dyDescent="0.3">
      <c r="A568">
        <v>159255776</v>
      </c>
      <c r="B568" s="1">
        <v>44890</v>
      </c>
      <c r="C568" s="1">
        <v>45006</v>
      </c>
      <c r="D568" t="s">
        <v>7</v>
      </c>
      <c r="E568">
        <v>39</v>
      </c>
      <c r="F568" t="s">
        <v>6</v>
      </c>
      <c r="G568" s="19">
        <v>116</v>
      </c>
      <c r="H568" t="s">
        <v>65</v>
      </c>
      <c r="I568">
        <v>2022</v>
      </c>
    </row>
    <row r="569" spans="1:9" x14ac:dyDescent="0.3">
      <c r="A569">
        <v>165807144</v>
      </c>
      <c r="B569" s="1">
        <v>44890</v>
      </c>
      <c r="C569" s="1">
        <v>44958</v>
      </c>
      <c r="D569" t="s">
        <v>7</v>
      </c>
      <c r="E569">
        <v>39</v>
      </c>
      <c r="F569" t="s">
        <v>6</v>
      </c>
      <c r="G569" s="19">
        <v>68</v>
      </c>
      <c r="H569" t="s">
        <v>65</v>
      </c>
      <c r="I569">
        <v>2022</v>
      </c>
    </row>
    <row r="570" spans="1:9" x14ac:dyDescent="0.3">
      <c r="A570">
        <v>165788743</v>
      </c>
      <c r="B570" s="1">
        <v>44890</v>
      </c>
      <c r="C570" s="1">
        <v>44975</v>
      </c>
      <c r="D570" t="s">
        <v>7</v>
      </c>
      <c r="E570">
        <v>39</v>
      </c>
      <c r="F570" t="s">
        <v>6</v>
      </c>
      <c r="G570" s="19">
        <v>85</v>
      </c>
      <c r="H570" t="s">
        <v>65</v>
      </c>
      <c r="I570">
        <v>2022</v>
      </c>
    </row>
    <row r="571" spans="1:9" x14ac:dyDescent="0.3">
      <c r="A571">
        <v>162513776</v>
      </c>
      <c r="B571" s="1">
        <v>44890</v>
      </c>
      <c r="C571" s="1">
        <v>44956</v>
      </c>
      <c r="D571" t="s">
        <v>7</v>
      </c>
      <c r="E571">
        <v>39</v>
      </c>
      <c r="F571" t="s">
        <v>6</v>
      </c>
      <c r="G571" s="19">
        <v>66</v>
      </c>
      <c r="H571" t="s">
        <v>65</v>
      </c>
      <c r="I571">
        <v>2022</v>
      </c>
    </row>
    <row r="572" spans="1:9" x14ac:dyDescent="0.3">
      <c r="A572">
        <v>161841028</v>
      </c>
      <c r="B572" s="1">
        <v>44890</v>
      </c>
      <c r="C572" s="1">
        <v>44951</v>
      </c>
      <c r="D572" t="s">
        <v>7</v>
      </c>
      <c r="E572">
        <v>39</v>
      </c>
      <c r="F572" t="s">
        <v>6</v>
      </c>
      <c r="G572" s="19">
        <v>61</v>
      </c>
      <c r="H572" t="s">
        <v>65</v>
      </c>
      <c r="I572">
        <v>2022</v>
      </c>
    </row>
    <row r="573" spans="1:9" x14ac:dyDescent="0.3">
      <c r="A573">
        <v>160597612</v>
      </c>
      <c r="B573" s="1">
        <v>44890</v>
      </c>
      <c r="C573" s="1">
        <v>44906</v>
      </c>
      <c r="D573" t="s">
        <v>7</v>
      </c>
      <c r="E573">
        <v>39</v>
      </c>
      <c r="F573" t="s">
        <v>6</v>
      </c>
      <c r="G573" s="19">
        <v>16</v>
      </c>
      <c r="H573" t="s">
        <v>65</v>
      </c>
      <c r="I573">
        <v>2022</v>
      </c>
    </row>
    <row r="574" spans="1:9" x14ac:dyDescent="0.3">
      <c r="A574">
        <v>165937140</v>
      </c>
      <c r="B574" s="1">
        <v>44891</v>
      </c>
      <c r="C574" s="1">
        <v>44892</v>
      </c>
      <c r="D574" t="s">
        <v>8</v>
      </c>
      <c r="E574">
        <v>39</v>
      </c>
      <c r="F574" t="s">
        <v>6</v>
      </c>
      <c r="G574" s="19">
        <v>1</v>
      </c>
      <c r="H574" t="s">
        <v>66</v>
      </c>
      <c r="I574">
        <v>2022</v>
      </c>
    </row>
    <row r="575" spans="1:9" x14ac:dyDescent="0.3">
      <c r="A575">
        <v>165613975</v>
      </c>
      <c r="B575" s="1">
        <v>44891</v>
      </c>
      <c r="C575" s="1">
        <v>45053</v>
      </c>
      <c r="D575" t="s">
        <v>7</v>
      </c>
      <c r="E575">
        <v>39</v>
      </c>
      <c r="F575" t="s">
        <v>6</v>
      </c>
      <c r="G575" s="19">
        <v>162</v>
      </c>
      <c r="H575" t="s">
        <v>66</v>
      </c>
      <c r="I575">
        <v>2022</v>
      </c>
    </row>
    <row r="576" spans="1:9" x14ac:dyDescent="0.3">
      <c r="A576">
        <v>164662173</v>
      </c>
      <c r="B576" s="1">
        <v>44891</v>
      </c>
      <c r="C576" s="1">
        <v>44952</v>
      </c>
      <c r="D576" t="s">
        <v>7</v>
      </c>
      <c r="E576">
        <v>39</v>
      </c>
      <c r="F576" t="s">
        <v>6</v>
      </c>
      <c r="G576" s="19">
        <v>61</v>
      </c>
      <c r="H576" t="s">
        <v>66</v>
      </c>
      <c r="I576">
        <v>2022</v>
      </c>
    </row>
    <row r="577" spans="1:9" x14ac:dyDescent="0.3">
      <c r="A577">
        <v>162411394</v>
      </c>
      <c r="B577" s="1">
        <v>44891</v>
      </c>
      <c r="C577" s="1">
        <v>44930</v>
      </c>
      <c r="D577" t="s">
        <v>7</v>
      </c>
      <c r="E577">
        <v>39</v>
      </c>
      <c r="F577" t="s">
        <v>6</v>
      </c>
      <c r="G577" s="19">
        <v>39</v>
      </c>
      <c r="H577" t="s">
        <v>66</v>
      </c>
      <c r="I577">
        <v>2022</v>
      </c>
    </row>
    <row r="578" spans="1:9" x14ac:dyDescent="0.3">
      <c r="A578">
        <v>121439836</v>
      </c>
      <c r="B578" s="1">
        <v>44892</v>
      </c>
      <c r="D578" t="s">
        <v>7</v>
      </c>
      <c r="E578">
        <v>39</v>
      </c>
      <c r="F578" t="s">
        <v>6</v>
      </c>
      <c r="H578" t="s">
        <v>60</v>
      </c>
      <c r="I578">
        <v>2022</v>
      </c>
    </row>
    <row r="579" spans="1:9" x14ac:dyDescent="0.3">
      <c r="A579">
        <v>157353623</v>
      </c>
      <c r="B579" s="1">
        <v>44892</v>
      </c>
      <c r="C579" s="1">
        <v>44892</v>
      </c>
      <c r="D579" t="s">
        <v>8</v>
      </c>
      <c r="E579">
        <v>39</v>
      </c>
      <c r="F579" t="s">
        <v>6</v>
      </c>
      <c r="G579" s="19">
        <v>0</v>
      </c>
      <c r="H579" t="s">
        <v>60</v>
      </c>
      <c r="I579">
        <v>2022</v>
      </c>
    </row>
    <row r="580" spans="1:9" x14ac:dyDescent="0.3">
      <c r="A580">
        <v>165953219</v>
      </c>
      <c r="B580" s="1">
        <v>44892</v>
      </c>
      <c r="C580" s="1">
        <v>44929</v>
      </c>
      <c r="D580" t="s">
        <v>7</v>
      </c>
      <c r="E580">
        <v>39</v>
      </c>
      <c r="F580" t="s">
        <v>6</v>
      </c>
      <c r="G580" s="19">
        <v>37</v>
      </c>
      <c r="H580" t="s">
        <v>60</v>
      </c>
      <c r="I580">
        <v>2022</v>
      </c>
    </row>
    <row r="581" spans="1:9" x14ac:dyDescent="0.3">
      <c r="A581">
        <v>154710805</v>
      </c>
      <c r="B581" s="1">
        <v>44893</v>
      </c>
      <c r="D581" t="s">
        <v>7</v>
      </c>
      <c r="E581">
        <v>39</v>
      </c>
      <c r="F581" t="s">
        <v>6</v>
      </c>
      <c r="H581" t="s">
        <v>61</v>
      </c>
      <c r="I581">
        <v>2022</v>
      </c>
    </row>
    <row r="582" spans="1:9" x14ac:dyDescent="0.3">
      <c r="A582">
        <v>164084318</v>
      </c>
      <c r="B582" s="1">
        <v>44893</v>
      </c>
      <c r="D582" t="s">
        <v>7</v>
      </c>
      <c r="E582">
        <v>39</v>
      </c>
      <c r="F582" t="s">
        <v>6</v>
      </c>
      <c r="H582" t="s">
        <v>61</v>
      </c>
      <c r="I582">
        <v>2022</v>
      </c>
    </row>
    <row r="583" spans="1:9" x14ac:dyDescent="0.3">
      <c r="A583">
        <v>160043327</v>
      </c>
      <c r="B583" s="1">
        <v>44893</v>
      </c>
      <c r="C583" s="1">
        <v>44894</v>
      </c>
      <c r="D583" t="s">
        <v>8</v>
      </c>
      <c r="E583">
        <v>39</v>
      </c>
      <c r="F583" t="s">
        <v>6</v>
      </c>
      <c r="G583" s="19">
        <v>1</v>
      </c>
      <c r="H583" t="s">
        <v>61</v>
      </c>
      <c r="I583">
        <v>2022</v>
      </c>
    </row>
    <row r="584" spans="1:9" x14ac:dyDescent="0.3">
      <c r="A584">
        <v>131166579</v>
      </c>
      <c r="B584" s="1">
        <v>44893</v>
      </c>
      <c r="C584" s="1">
        <v>44930</v>
      </c>
      <c r="D584" t="s">
        <v>7</v>
      </c>
      <c r="E584">
        <v>39</v>
      </c>
      <c r="F584" t="s">
        <v>6</v>
      </c>
      <c r="G584" s="19">
        <v>37</v>
      </c>
      <c r="H584" t="s">
        <v>61</v>
      </c>
      <c r="I584">
        <v>2022</v>
      </c>
    </row>
    <row r="585" spans="1:9" x14ac:dyDescent="0.3">
      <c r="A585">
        <v>166109726</v>
      </c>
      <c r="B585" s="1">
        <v>44893</v>
      </c>
      <c r="C585" s="1">
        <v>44938</v>
      </c>
      <c r="D585" t="s">
        <v>7</v>
      </c>
      <c r="E585">
        <v>39</v>
      </c>
      <c r="F585" t="s">
        <v>6</v>
      </c>
      <c r="G585" s="19">
        <v>45</v>
      </c>
      <c r="H585" t="s">
        <v>61</v>
      </c>
      <c r="I585">
        <v>2022</v>
      </c>
    </row>
    <row r="586" spans="1:9" x14ac:dyDescent="0.3">
      <c r="A586">
        <v>155446081</v>
      </c>
      <c r="B586" s="1">
        <v>44893</v>
      </c>
      <c r="C586" s="1">
        <v>44927</v>
      </c>
      <c r="D586" t="s">
        <v>7</v>
      </c>
      <c r="E586">
        <v>39</v>
      </c>
      <c r="F586" t="s">
        <v>6</v>
      </c>
      <c r="G586" s="19">
        <v>34</v>
      </c>
      <c r="H586" t="s">
        <v>61</v>
      </c>
      <c r="I586">
        <v>2022</v>
      </c>
    </row>
    <row r="587" spans="1:9" x14ac:dyDescent="0.3">
      <c r="A587">
        <v>166342075</v>
      </c>
      <c r="B587" s="1">
        <v>44893</v>
      </c>
      <c r="C587" s="1">
        <v>44923</v>
      </c>
      <c r="D587" t="s">
        <v>7</v>
      </c>
      <c r="E587">
        <v>39</v>
      </c>
      <c r="F587" t="s">
        <v>6</v>
      </c>
      <c r="G587" s="19">
        <v>30</v>
      </c>
      <c r="H587" t="s">
        <v>61</v>
      </c>
      <c r="I587">
        <v>2022</v>
      </c>
    </row>
    <row r="588" spans="1:9" x14ac:dyDescent="0.3">
      <c r="A588">
        <v>154063985</v>
      </c>
      <c r="B588" s="1">
        <v>44893</v>
      </c>
      <c r="C588" s="1">
        <v>45142</v>
      </c>
      <c r="D588" t="s">
        <v>7</v>
      </c>
      <c r="E588">
        <v>39</v>
      </c>
      <c r="F588" t="s">
        <v>6</v>
      </c>
      <c r="G588" s="19">
        <v>249</v>
      </c>
      <c r="H588" t="s">
        <v>61</v>
      </c>
      <c r="I588">
        <v>2022</v>
      </c>
    </row>
    <row r="589" spans="1:9" x14ac:dyDescent="0.3">
      <c r="A589">
        <v>164141888</v>
      </c>
      <c r="B589" s="1">
        <v>44894</v>
      </c>
      <c r="D589" t="s">
        <v>7</v>
      </c>
      <c r="E589">
        <v>39</v>
      </c>
      <c r="F589" t="s">
        <v>6</v>
      </c>
      <c r="H589" t="s">
        <v>62</v>
      </c>
      <c r="I589">
        <v>2022</v>
      </c>
    </row>
    <row r="590" spans="1:9" x14ac:dyDescent="0.3">
      <c r="A590">
        <v>165244044</v>
      </c>
      <c r="B590" s="1">
        <v>44894</v>
      </c>
      <c r="C590" s="1">
        <v>45061</v>
      </c>
      <c r="D590" t="s">
        <v>7</v>
      </c>
      <c r="E590">
        <v>39</v>
      </c>
      <c r="F590" t="s">
        <v>6</v>
      </c>
      <c r="G590" s="19">
        <v>167</v>
      </c>
      <c r="H590" t="s">
        <v>62</v>
      </c>
      <c r="I590">
        <v>2022</v>
      </c>
    </row>
    <row r="591" spans="1:9" x14ac:dyDescent="0.3">
      <c r="A591">
        <v>136149379</v>
      </c>
      <c r="B591" s="1">
        <v>44894</v>
      </c>
      <c r="C591" s="1">
        <v>45018</v>
      </c>
      <c r="D591" t="s">
        <v>7</v>
      </c>
      <c r="E591">
        <v>39</v>
      </c>
      <c r="F591" t="s">
        <v>6</v>
      </c>
      <c r="G591" s="19">
        <v>124</v>
      </c>
      <c r="H591" t="s">
        <v>62</v>
      </c>
      <c r="I591">
        <v>2022</v>
      </c>
    </row>
    <row r="592" spans="1:9" x14ac:dyDescent="0.3">
      <c r="A592">
        <v>158227426</v>
      </c>
      <c r="B592" s="1">
        <v>44894</v>
      </c>
      <c r="C592" s="1">
        <v>44986</v>
      </c>
      <c r="D592" t="s">
        <v>7</v>
      </c>
      <c r="E592">
        <v>39</v>
      </c>
      <c r="F592" t="s">
        <v>6</v>
      </c>
      <c r="G592" s="19">
        <v>92</v>
      </c>
      <c r="H592" t="s">
        <v>62</v>
      </c>
      <c r="I592">
        <v>2022</v>
      </c>
    </row>
    <row r="593" spans="1:9" x14ac:dyDescent="0.3">
      <c r="A593">
        <v>166366125</v>
      </c>
      <c r="B593" s="1">
        <v>44894</v>
      </c>
      <c r="C593" s="1">
        <v>44994</v>
      </c>
      <c r="D593" t="s">
        <v>7</v>
      </c>
      <c r="E593">
        <v>39</v>
      </c>
      <c r="F593" t="s">
        <v>6</v>
      </c>
      <c r="G593" s="19">
        <v>100</v>
      </c>
      <c r="H593" t="s">
        <v>62</v>
      </c>
      <c r="I593">
        <v>2022</v>
      </c>
    </row>
    <row r="594" spans="1:9" x14ac:dyDescent="0.3">
      <c r="A594">
        <v>166753946</v>
      </c>
      <c r="B594" s="1">
        <v>44894</v>
      </c>
      <c r="C594" s="1">
        <v>44962</v>
      </c>
      <c r="D594" t="s">
        <v>7</v>
      </c>
      <c r="E594">
        <v>39</v>
      </c>
      <c r="F594" t="s">
        <v>6</v>
      </c>
      <c r="G594" s="19">
        <v>68</v>
      </c>
      <c r="H594" t="s">
        <v>62</v>
      </c>
      <c r="I594">
        <v>2022</v>
      </c>
    </row>
    <row r="595" spans="1:9" x14ac:dyDescent="0.3">
      <c r="A595">
        <v>157883110</v>
      </c>
      <c r="B595" s="1">
        <v>44894</v>
      </c>
      <c r="C595" s="1">
        <v>44949</v>
      </c>
      <c r="D595" t="s">
        <v>7</v>
      </c>
      <c r="E595">
        <v>39</v>
      </c>
      <c r="F595" t="s">
        <v>6</v>
      </c>
      <c r="G595" s="19">
        <v>55</v>
      </c>
      <c r="H595" t="s">
        <v>62</v>
      </c>
      <c r="I595">
        <v>2022</v>
      </c>
    </row>
    <row r="596" spans="1:9" x14ac:dyDescent="0.3">
      <c r="A596">
        <v>138475621</v>
      </c>
      <c r="B596" s="1">
        <v>44894</v>
      </c>
      <c r="C596" s="1">
        <v>44910</v>
      </c>
      <c r="D596" t="s">
        <v>7</v>
      </c>
      <c r="E596">
        <v>39</v>
      </c>
      <c r="F596" t="s">
        <v>6</v>
      </c>
      <c r="G596" s="19">
        <v>16</v>
      </c>
      <c r="H596" t="s">
        <v>62</v>
      </c>
      <c r="I596">
        <v>2022</v>
      </c>
    </row>
    <row r="597" spans="1:9" x14ac:dyDescent="0.3">
      <c r="A597">
        <v>166529240</v>
      </c>
      <c r="B597" s="1">
        <v>44895</v>
      </c>
      <c r="D597" t="s">
        <v>7</v>
      </c>
      <c r="E597">
        <v>39</v>
      </c>
      <c r="F597" t="s">
        <v>6</v>
      </c>
      <c r="H597" t="s">
        <v>63</v>
      </c>
      <c r="I597">
        <v>2022</v>
      </c>
    </row>
    <row r="598" spans="1:9" x14ac:dyDescent="0.3">
      <c r="A598">
        <v>125828506</v>
      </c>
      <c r="B598" s="1">
        <v>44895</v>
      </c>
      <c r="C598" s="1">
        <v>44971</v>
      </c>
      <c r="D598" t="s">
        <v>7</v>
      </c>
      <c r="E598">
        <v>39</v>
      </c>
      <c r="F598" t="s">
        <v>6</v>
      </c>
      <c r="G598" s="19">
        <v>76</v>
      </c>
      <c r="H598" t="s">
        <v>63</v>
      </c>
      <c r="I598">
        <v>2022</v>
      </c>
    </row>
    <row r="599" spans="1:9" x14ac:dyDescent="0.3">
      <c r="A599">
        <v>148869381</v>
      </c>
      <c r="B599" s="1">
        <v>44895</v>
      </c>
      <c r="C599" s="1">
        <v>44957</v>
      </c>
      <c r="D599" t="s">
        <v>7</v>
      </c>
      <c r="E599">
        <v>39</v>
      </c>
      <c r="F599" t="s">
        <v>6</v>
      </c>
      <c r="G599" s="19">
        <v>62</v>
      </c>
      <c r="H599" t="s">
        <v>63</v>
      </c>
      <c r="I599">
        <v>2022</v>
      </c>
    </row>
    <row r="600" spans="1:9" x14ac:dyDescent="0.3">
      <c r="A600">
        <v>134825962</v>
      </c>
      <c r="B600" s="1">
        <v>44895</v>
      </c>
      <c r="C600" s="1">
        <v>44927</v>
      </c>
      <c r="D600" t="s">
        <v>7</v>
      </c>
      <c r="E600">
        <v>39</v>
      </c>
      <c r="F600" t="s">
        <v>6</v>
      </c>
      <c r="G600" s="19">
        <v>32</v>
      </c>
      <c r="H600" t="s">
        <v>63</v>
      </c>
      <c r="I600">
        <v>2022</v>
      </c>
    </row>
    <row r="601" spans="1:9" x14ac:dyDescent="0.3">
      <c r="A601">
        <v>151163143</v>
      </c>
      <c r="B601" s="1">
        <v>44895</v>
      </c>
      <c r="C601" s="1">
        <v>44932</v>
      </c>
      <c r="D601" t="s">
        <v>7</v>
      </c>
      <c r="E601">
        <v>39</v>
      </c>
      <c r="F601" t="s">
        <v>6</v>
      </c>
      <c r="G601" s="19">
        <v>37</v>
      </c>
      <c r="H601" t="s">
        <v>63</v>
      </c>
      <c r="I601">
        <v>2022</v>
      </c>
    </row>
    <row r="602" spans="1:9" x14ac:dyDescent="0.3">
      <c r="A602">
        <v>156111982</v>
      </c>
      <c r="B602" s="1">
        <v>44895</v>
      </c>
      <c r="C602" s="1">
        <v>44918</v>
      </c>
      <c r="D602" t="s">
        <v>7</v>
      </c>
      <c r="E602">
        <v>39</v>
      </c>
      <c r="F602" t="s">
        <v>6</v>
      </c>
      <c r="G602" s="19">
        <v>23</v>
      </c>
      <c r="H602" t="s">
        <v>63</v>
      </c>
      <c r="I602">
        <v>2022</v>
      </c>
    </row>
    <row r="603" spans="1:9" x14ac:dyDescent="0.3">
      <c r="A603">
        <v>166546201</v>
      </c>
      <c r="B603" s="1">
        <v>44895</v>
      </c>
      <c r="C603" s="1">
        <v>44906</v>
      </c>
      <c r="D603" t="s">
        <v>7</v>
      </c>
      <c r="E603">
        <v>39</v>
      </c>
      <c r="F603" t="s">
        <v>6</v>
      </c>
      <c r="G603" s="19">
        <v>11</v>
      </c>
      <c r="H603" t="s">
        <v>63</v>
      </c>
      <c r="I603">
        <v>2022</v>
      </c>
    </row>
    <row r="604" spans="1:9" x14ac:dyDescent="0.3">
      <c r="A604">
        <v>162126074</v>
      </c>
      <c r="B604" s="1">
        <v>44896</v>
      </c>
      <c r="D604" t="s">
        <v>7</v>
      </c>
      <c r="E604">
        <v>39</v>
      </c>
      <c r="F604" t="s">
        <v>6</v>
      </c>
      <c r="H604" t="s">
        <v>64</v>
      </c>
      <c r="I604">
        <v>2022</v>
      </c>
    </row>
    <row r="605" spans="1:9" x14ac:dyDescent="0.3">
      <c r="A605">
        <v>162640429</v>
      </c>
      <c r="B605" s="1">
        <v>44896</v>
      </c>
      <c r="D605" t="s">
        <v>7</v>
      </c>
      <c r="E605">
        <v>39</v>
      </c>
      <c r="F605" t="s">
        <v>6</v>
      </c>
      <c r="H605" t="s">
        <v>64</v>
      </c>
      <c r="I605">
        <v>2022</v>
      </c>
    </row>
    <row r="606" spans="1:9" x14ac:dyDescent="0.3">
      <c r="A606">
        <v>164413682</v>
      </c>
      <c r="B606" s="1">
        <v>44896</v>
      </c>
      <c r="D606" t="s">
        <v>7</v>
      </c>
      <c r="E606">
        <v>39</v>
      </c>
      <c r="F606" t="s">
        <v>6</v>
      </c>
      <c r="H606" t="s">
        <v>64</v>
      </c>
      <c r="I606">
        <v>2022</v>
      </c>
    </row>
    <row r="607" spans="1:9" x14ac:dyDescent="0.3">
      <c r="A607">
        <v>162850052</v>
      </c>
      <c r="B607" s="1">
        <v>44896</v>
      </c>
      <c r="D607" t="s">
        <v>7</v>
      </c>
      <c r="E607">
        <v>39</v>
      </c>
      <c r="F607" t="s">
        <v>6</v>
      </c>
      <c r="H607" t="s">
        <v>64</v>
      </c>
      <c r="I607">
        <v>2022</v>
      </c>
    </row>
    <row r="608" spans="1:9" x14ac:dyDescent="0.3">
      <c r="A608">
        <v>162177746</v>
      </c>
      <c r="B608" s="1">
        <v>44896</v>
      </c>
      <c r="C608" s="1">
        <v>44924</v>
      </c>
      <c r="D608" t="s">
        <v>7</v>
      </c>
      <c r="E608">
        <v>39</v>
      </c>
      <c r="F608" t="s">
        <v>6</v>
      </c>
      <c r="G608" s="19">
        <v>28</v>
      </c>
      <c r="H608" t="s">
        <v>64</v>
      </c>
      <c r="I608">
        <v>2022</v>
      </c>
    </row>
    <row r="609" spans="1:9" x14ac:dyDescent="0.3">
      <c r="A609">
        <v>135587508</v>
      </c>
      <c r="B609" s="1">
        <v>44896</v>
      </c>
      <c r="C609" s="1">
        <v>44966</v>
      </c>
      <c r="D609" t="s">
        <v>7</v>
      </c>
      <c r="E609">
        <v>39</v>
      </c>
      <c r="F609" t="s">
        <v>6</v>
      </c>
      <c r="G609" s="19">
        <v>70</v>
      </c>
      <c r="H609" t="s">
        <v>64</v>
      </c>
      <c r="I609">
        <v>2022</v>
      </c>
    </row>
    <row r="610" spans="1:9" x14ac:dyDescent="0.3">
      <c r="A610">
        <v>161428649</v>
      </c>
      <c r="B610" s="1">
        <v>44896</v>
      </c>
      <c r="C610" s="1">
        <v>45024</v>
      </c>
      <c r="D610" t="s">
        <v>7</v>
      </c>
      <c r="E610">
        <v>39</v>
      </c>
      <c r="F610" t="s">
        <v>6</v>
      </c>
      <c r="G610" s="19">
        <v>128</v>
      </c>
      <c r="H610" t="s">
        <v>64</v>
      </c>
      <c r="I610">
        <v>2022</v>
      </c>
    </row>
    <row r="611" spans="1:9" x14ac:dyDescent="0.3">
      <c r="A611">
        <v>166977144</v>
      </c>
      <c r="B611" s="1">
        <v>44896</v>
      </c>
      <c r="C611" s="1">
        <v>45024</v>
      </c>
      <c r="D611" t="s">
        <v>7</v>
      </c>
      <c r="E611">
        <v>39</v>
      </c>
      <c r="F611" t="s">
        <v>6</v>
      </c>
      <c r="G611" s="19">
        <v>128</v>
      </c>
      <c r="H611" t="s">
        <v>64</v>
      </c>
      <c r="I611">
        <v>2022</v>
      </c>
    </row>
    <row r="612" spans="1:9" x14ac:dyDescent="0.3">
      <c r="A612">
        <v>161640666</v>
      </c>
      <c r="B612" s="1">
        <v>44896</v>
      </c>
      <c r="C612" s="1">
        <v>44986</v>
      </c>
      <c r="D612" t="s">
        <v>7</v>
      </c>
      <c r="E612">
        <v>39</v>
      </c>
      <c r="F612" t="s">
        <v>6</v>
      </c>
      <c r="G612" s="19">
        <v>90</v>
      </c>
      <c r="H612" t="s">
        <v>64</v>
      </c>
      <c r="I612">
        <v>2022</v>
      </c>
    </row>
    <row r="613" spans="1:9" x14ac:dyDescent="0.3">
      <c r="A613">
        <v>165932696</v>
      </c>
      <c r="B613" s="1">
        <v>44896</v>
      </c>
      <c r="C613" s="1">
        <v>44986</v>
      </c>
      <c r="D613" t="s">
        <v>7</v>
      </c>
      <c r="E613">
        <v>39</v>
      </c>
      <c r="F613" t="s">
        <v>6</v>
      </c>
      <c r="G613" s="19">
        <v>90</v>
      </c>
      <c r="H613" t="s">
        <v>64</v>
      </c>
      <c r="I613">
        <v>2022</v>
      </c>
    </row>
    <row r="614" spans="1:9" x14ac:dyDescent="0.3">
      <c r="A614">
        <v>165204032</v>
      </c>
      <c r="B614" s="1">
        <v>44896</v>
      </c>
      <c r="C614" s="1">
        <v>44971</v>
      </c>
      <c r="D614" t="s">
        <v>7</v>
      </c>
      <c r="E614">
        <v>39</v>
      </c>
      <c r="F614" t="s">
        <v>6</v>
      </c>
      <c r="G614" s="19">
        <v>75</v>
      </c>
      <c r="H614" t="s">
        <v>64</v>
      </c>
      <c r="I614">
        <v>2022</v>
      </c>
    </row>
    <row r="615" spans="1:9" x14ac:dyDescent="0.3">
      <c r="A615">
        <v>162469903</v>
      </c>
      <c r="B615" s="1">
        <v>44896</v>
      </c>
      <c r="C615" s="1">
        <v>44965</v>
      </c>
      <c r="D615" t="s">
        <v>7</v>
      </c>
      <c r="E615">
        <v>39</v>
      </c>
      <c r="F615" t="s">
        <v>6</v>
      </c>
      <c r="G615" s="19">
        <v>69</v>
      </c>
      <c r="H615" t="s">
        <v>64</v>
      </c>
      <c r="I615">
        <v>2022</v>
      </c>
    </row>
    <row r="616" spans="1:9" x14ac:dyDescent="0.3">
      <c r="A616">
        <v>166515564</v>
      </c>
      <c r="B616" s="1">
        <v>44896</v>
      </c>
      <c r="C616" s="1">
        <v>44945</v>
      </c>
      <c r="D616" t="s">
        <v>7</v>
      </c>
      <c r="E616">
        <v>39</v>
      </c>
      <c r="F616" t="s">
        <v>6</v>
      </c>
      <c r="G616" s="19">
        <v>49</v>
      </c>
      <c r="H616" t="s">
        <v>64</v>
      </c>
      <c r="I616">
        <v>2022</v>
      </c>
    </row>
    <row r="617" spans="1:9" x14ac:dyDescent="0.3">
      <c r="A617">
        <v>139323228</v>
      </c>
      <c r="B617" s="1">
        <v>44896</v>
      </c>
      <c r="C617" s="1">
        <v>44950</v>
      </c>
      <c r="D617" t="s">
        <v>7</v>
      </c>
      <c r="E617">
        <v>39</v>
      </c>
      <c r="F617" t="s">
        <v>6</v>
      </c>
      <c r="G617" s="19">
        <v>54</v>
      </c>
      <c r="H617" t="s">
        <v>64</v>
      </c>
      <c r="I617">
        <v>2022</v>
      </c>
    </row>
    <row r="618" spans="1:9" x14ac:dyDescent="0.3">
      <c r="A618">
        <v>162569750</v>
      </c>
      <c r="B618" s="1">
        <v>44896</v>
      </c>
      <c r="C618" s="1">
        <v>44899</v>
      </c>
      <c r="D618" t="s">
        <v>7</v>
      </c>
      <c r="E618">
        <v>39</v>
      </c>
      <c r="F618" t="s">
        <v>6</v>
      </c>
      <c r="G618" s="19">
        <v>3</v>
      </c>
      <c r="H618" t="s">
        <v>64</v>
      </c>
      <c r="I618">
        <v>2022</v>
      </c>
    </row>
    <row r="619" spans="1:9" x14ac:dyDescent="0.3">
      <c r="A619">
        <v>165959602</v>
      </c>
      <c r="B619" s="1">
        <v>44896</v>
      </c>
      <c r="C619" s="1">
        <v>44918</v>
      </c>
      <c r="D619" t="s">
        <v>7</v>
      </c>
      <c r="E619">
        <v>39</v>
      </c>
      <c r="F619" t="s">
        <v>6</v>
      </c>
      <c r="G619" s="19">
        <v>22</v>
      </c>
      <c r="H619" t="s">
        <v>64</v>
      </c>
      <c r="I619">
        <v>2022</v>
      </c>
    </row>
    <row r="620" spans="1:9" x14ac:dyDescent="0.3">
      <c r="A620">
        <v>160968524</v>
      </c>
      <c r="B620" s="1">
        <v>44896</v>
      </c>
      <c r="C620" s="1">
        <v>45127</v>
      </c>
      <c r="D620" t="s">
        <v>7</v>
      </c>
      <c r="E620">
        <v>39</v>
      </c>
      <c r="F620" t="s">
        <v>6</v>
      </c>
      <c r="G620" s="19">
        <v>231</v>
      </c>
      <c r="H620" t="s">
        <v>64</v>
      </c>
      <c r="I620">
        <v>2022</v>
      </c>
    </row>
    <row r="621" spans="1:9" x14ac:dyDescent="0.3">
      <c r="A621">
        <v>163258260</v>
      </c>
      <c r="B621" s="1">
        <v>44897</v>
      </c>
      <c r="D621" t="s">
        <v>7</v>
      </c>
      <c r="E621">
        <v>39</v>
      </c>
      <c r="F621" t="s">
        <v>6</v>
      </c>
      <c r="H621" t="s">
        <v>65</v>
      </c>
      <c r="I621">
        <v>2022</v>
      </c>
    </row>
    <row r="622" spans="1:9" x14ac:dyDescent="0.3">
      <c r="A622">
        <v>167051046</v>
      </c>
      <c r="B622" s="1">
        <v>44897</v>
      </c>
      <c r="D622" t="s">
        <v>7</v>
      </c>
      <c r="E622">
        <v>39</v>
      </c>
      <c r="F622" t="s">
        <v>6</v>
      </c>
      <c r="H622" t="s">
        <v>65</v>
      </c>
      <c r="I622">
        <v>2022</v>
      </c>
    </row>
    <row r="623" spans="1:9" x14ac:dyDescent="0.3">
      <c r="A623">
        <v>161182367</v>
      </c>
      <c r="B623" s="1">
        <v>44897</v>
      </c>
      <c r="C623" s="1">
        <v>44898</v>
      </c>
      <c r="D623" t="s">
        <v>7</v>
      </c>
      <c r="E623">
        <v>39</v>
      </c>
      <c r="F623" t="s">
        <v>6</v>
      </c>
      <c r="G623" s="19">
        <v>1</v>
      </c>
      <c r="H623" t="s">
        <v>65</v>
      </c>
      <c r="I623">
        <v>2022</v>
      </c>
    </row>
    <row r="624" spans="1:9" x14ac:dyDescent="0.3">
      <c r="A624">
        <v>167292985</v>
      </c>
      <c r="B624" s="1">
        <v>44897</v>
      </c>
      <c r="C624" s="1">
        <v>44898</v>
      </c>
      <c r="D624" t="s">
        <v>8</v>
      </c>
      <c r="E624">
        <v>39</v>
      </c>
      <c r="F624" t="s">
        <v>6</v>
      </c>
      <c r="G624" s="19">
        <v>1</v>
      </c>
      <c r="H624" t="s">
        <v>65</v>
      </c>
      <c r="I624">
        <v>2022</v>
      </c>
    </row>
    <row r="625" spans="1:9" x14ac:dyDescent="0.3">
      <c r="A625">
        <v>166183014</v>
      </c>
      <c r="B625" s="1">
        <v>44897</v>
      </c>
      <c r="C625" s="1">
        <v>44898</v>
      </c>
      <c r="D625" t="s">
        <v>8</v>
      </c>
      <c r="E625">
        <v>39</v>
      </c>
      <c r="F625" t="s">
        <v>6</v>
      </c>
      <c r="G625" s="19">
        <v>1</v>
      </c>
      <c r="H625" t="s">
        <v>65</v>
      </c>
      <c r="I625">
        <v>2022</v>
      </c>
    </row>
    <row r="626" spans="1:9" x14ac:dyDescent="0.3">
      <c r="A626">
        <v>165143920</v>
      </c>
      <c r="B626" s="1">
        <v>44897</v>
      </c>
      <c r="C626" s="1">
        <v>45079</v>
      </c>
      <c r="D626" t="s">
        <v>7</v>
      </c>
      <c r="E626">
        <v>39</v>
      </c>
      <c r="F626" t="s">
        <v>6</v>
      </c>
      <c r="G626" s="19">
        <v>182</v>
      </c>
      <c r="H626" t="s">
        <v>65</v>
      </c>
      <c r="I626">
        <v>2022</v>
      </c>
    </row>
    <row r="627" spans="1:9" x14ac:dyDescent="0.3">
      <c r="A627">
        <v>165958089</v>
      </c>
      <c r="B627" s="1">
        <v>44897</v>
      </c>
      <c r="C627" s="1">
        <v>44966</v>
      </c>
      <c r="D627" t="s">
        <v>7</v>
      </c>
      <c r="E627">
        <v>39</v>
      </c>
      <c r="F627" t="s">
        <v>6</v>
      </c>
      <c r="G627" s="19">
        <v>69</v>
      </c>
      <c r="H627" t="s">
        <v>65</v>
      </c>
      <c r="I627">
        <v>2022</v>
      </c>
    </row>
    <row r="628" spans="1:9" x14ac:dyDescent="0.3">
      <c r="A628">
        <v>165431576</v>
      </c>
      <c r="B628" s="1">
        <v>44897</v>
      </c>
      <c r="C628" s="1">
        <v>44958</v>
      </c>
      <c r="D628" t="s">
        <v>7</v>
      </c>
      <c r="E628">
        <v>39</v>
      </c>
      <c r="F628" t="s">
        <v>6</v>
      </c>
      <c r="G628" s="19">
        <v>61</v>
      </c>
      <c r="H628" t="s">
        <v>65</v>
      </c>
      <c r="I628">
        <v>2022</v>
      </c>
    </row>
    <row r="629" spans="1:9" x14ac:dyDescent="0.3">
      <c r="A629">
        <v>163708513</v>
      </c>
      <c r="B629" s="1">
        <v>44897</v>
      </c>
      <c r="C629" s="1">
        <v>44925</v>
      </c>
      <c r="D629" t="s">
        <v>7</v>
      </c>
      <c r="E629">
        <v>39</v>
      </c>
      <c r="F629" t="s">
        <v>6</v>
      </c>
      <c r="G629" s="19">
        <v>28</v>
      </c>
      <c r="H629" t="s">
        <v>65</v>
      </c>
      <c r="I629">
        <v>2022</v>
      </c>
    </row>
    <row r="630" spans="1:9" x14ac:dyDescent="0.3">
      <c r="A630">
        <v>164521419</v>
      </c>
      <c r="B630" s="1">
        <v>44897</v>
      </c>
      <c r="C630" s="1">
        <v>44924</v>
      </c>
      <c r="D630" t="s">
        <v>7</v>
      </c>
      <c r="E630">
        <v>39</v>
      </c>
      <c r="F630" t="s">
        <v>6</v>
      </c>
      <c r="G630" s="19">
        <v>27</v>
      </c>
      <c r="H630" t="s">
        <v>65</v>
      </c>
      <c r="I630">
        <v>2022</v>
      </c>
    </row>
    <row r="631" spans="1:9" x14ac:dyDescent="0.3">
      <c r="A631">
        <v>166257164</v>
      </c>
      <c r="B631" s="1">
        <v>44897</v>
      </c>
      <c r="C631" s="1">
        <v>44916</v>
      </c>
      <c r="D631" t="s">
        <v>7</v>
      </c>
      <c r="E631">
        <v>39</v>
      </c>
      <c r="F631" t="s">
        <v>6</v>
      </c>
      <c r="G631" s="19">
        <v>19</v>
      </c>
      <c r="H631" t="s">
        <v>65</v>
      </c>
      <c r="I631">
        <v>2022</v>
      </c>
    </row>
    <row r="632" spans="1:9" x14ac:dyDescent="0.3">
      <c r="A632">
        <v>121348156</v>
      </c>
      <c r="B632" s="1">
        <v>44897</v>
      </c>
      <c r="C632" s="1">
        <v>44901</v>
      </c>
      <c r="D632" t="s">
        <v>7</v>
      </c>
      <c r="E632">
        <v>39</v>
      </c>
      <c r="F632" t="s">
        <v>6</v>
      </c>
      <c r="G632" s="19">
        <v>4</v>
      </c>
      <c r="H632" t="s">
        <v>65</v>
      </c>
      <c r="I632">
        <v>2022</v>
      </c>
    </row>
    <row r="633" spans="1:9" x14ac:dyDescent="0.3">
      <c r="A633">
        <v>167280894</v>
      </c>
      <c r="B633" s="1">
        <v>44897</v>
      </c>
      <c r="C633" s="1">
        <v>45113</v>
      </c>
      <c r="D633" t="s">
        <v>7</v>
      </c>
      <c r="E633">
        <v>39</v>
      </c>
      <c r="F633" t="s">
        <v>6</v>
      </c>
      <c r="G633" s="19">
        <v>216</v>
      </c>
      <c r="H633" t="s">
        <v>65</v>
      </c>
      <c r="I633">
        <v>2022</v>
      </c>
    </row>
    <row r="634" spans="1:9" x14ac:dyDescent="0.3">
      <c r="A634">
        <v>160980795</v>
      </c>
      <c r="B634" s="1">
        <v>44898</v>
      </c>
      <c r="D634" t="s">
        <v>7</v>
      </c>
      <c r="E634">
        <v>39</v>
      </c>
      <c r="F634" t="s">
        <v>6</v>
      </c>
      <c r="H634" t="s">
        <v>66</v>
      </c>
      <c r="I634">
        <v>2022</v>
      </c>
    </row>
    <row r="635" spans="1:9" x14ac:dyDescent="0.3">
      <c r="A635">
        <v>167544686</v>
      </c>
      <c r="B635" s="1">
        <v>44898</v>
      </c>
      <c r="D635" t="s">
        <v>7</v>
      </c>
      <c r="E635">
        <v>39</v>
      </c>
      <c r="F635" t="s">
        <v>6</v>
      </c>
      <c r="H635" t="s">
        <v>66</v>
      </c>
      <c r="I635">
        <v>2022</v>
      </c>
    </row>
    <row r="636" spans="1:9" x14ac:dyDescent="0.3">
      <c r="A636">
        <v>161968719</v>
      </c>
      <c r="B636" s="1">
        <v>44898</v>
      </c>
      <c r="D636" t="s">
        <v>7</v>
      </c>
      <c r="E636">
        <v>39</v>
      </c>
      <c r="F636" t="s">
        <v>6</v>
      </c>
      <c r="H636" t="s">
        <v>66</v>
      </c>
      <c r="I636">
        <v>2022</v>
      </c>
    </row>
    <row r="637" spans="1:9" x14ac:dyDescent="0.3">
      <c r="A637">
        <v>159070152</v>
      </c>
      <c r="B637" s="1">
        <v>44898</v>
      </c>
      <c r="D637" t="s">
        <v>7</v>
      </c>
      <c r="E637">
        <v>39</v>
      </c>
      <c r="F637" t="s">
        <v>6</v>
      </c>
      <c r="H637" t="s">
        <v>66</v>
      </c>
      <c r="I637">
        <v>2022</v>
      </c>
    </row>
    <row r="638" spans="1:9" x14ac:dyDescent="0.3">
      <c r="A638">
        <v>167445788</v>
      </c>
      <c r="B638" s="1">
        <v>44898</v>
      </c>
      <c r="C638" s="1">
        <v>44899</v>
      </c>
      <c r="D638" t="s">
        <v>8</v>
      </c>
      <c r="E638">
        <v>39</v>
      </c>
      <c r="F638" t="s">
        <v>6</v>
      </c>
      <c r="G638" s="19">
        <v>1</v>
      </c>
      <c r="H638" t="s">
        <v>66</v>
      </c>
      <c r="I638">
        <v>2022</v>
      </c>
    </row>
    <row r="639" spans="1:9" x14ac:dyDescent="0.3">
      <c r="A639">
        <v>167441263</v>
      </c>
      <c r="B639" s="1">
        <v>44898</v>
      </c>
      <c r="C639" s="1">
        <v>45087</v>
      </c>
      <c r="D639" t="s">
        <v>7</v>
      </c>
      <c r="E639">
        <v>39</v>
      </c>
      <c r="F639" t="s">
        <v>6</v>
      </c>
      <c r="G639" s="19">
        <v>189</v>
      </c>
      <c r="H639" t="s">
        <v>66</v>
      </c>
      <c r="I639">
        <v>2022</v>
      </c>
    </row>
    <row r="640" spans="1:9" x14ac:dyDescent="0.3">
      <c r="A640">
        <v>167586100</v>
      </c>
      <c r="B640" s="1">
        <v>44898</v>
      </c>
      <c r="C640" s="1">
        <v>44987</v>
      </c>
      <c r="D640" t="s">
        <v>7</v>
      </c>
      <c r="E640">
        <v>39</v>
      </c>
      <c r="F640" t="s">
        <v>6</v>
      </c>
      <c r="G640" s="19">
        <v>89</v>
      </c>
      <c r="H640" t="s">
        <v>66</v>
      </c>
      <c r="I640">
        <v>2022</v>
      </c>
    </row>
    <row r="641" spans="1:9" x14ac:dyDescent="0.3">
      <c r="A641">
        <v>139789436</v>
      </c>
      <c r="B641" s="1">
        <v>44898</v>
      </c>
      <c r="C641" s="1">
        <v>44955</v>
      </c>
      <c r="D641" t="s">
        <v>7</v>
      </c>
      <c r="E641">
        <v>39</v>
      </c>
      <c r="F641" t="s">
        <v>6</v>
      </c>
      <c r="G641" s="19">
        <v>57</v>
      </c>
      <c r="H641" t="s">
        <v>66</v>
      </c>
      <c r="I641">
        <v>2022</v>
      </c>
    </row>
    <row r="642" spans="1:9" x14ac:dyDescent="0.3">
      <c r="A642">
        <v>116319450</v>
      </c>
      <c r="B642" s="1">
        <v>44899</v>
      </c>
      <c r="C642" s="1">
        <v>45035</v>
      </c>
      <c r="D642" t="s">
        <v>7</v>
      </c>
      <c r="E642">
        <v>39</v>
      </c>
      <c r="F642" t="s">
        <v>6</v>
      </c>
      <c r="G642" s="19">
        <v>136</v>
      </c>
      <c r="H642" t="s">
        <v>60</v>
      </c>
      <c r="I642">
        <v>2022</v>
      </c>
    </row>
    <row r="643" spans="1:9" x14ac:dyDescent="0.3">
      <c r="A643">
        <v>162939264</v>
      </c>
      <c r="B643" s="1">
        <v>44899</v>
      </c>
      <c r="C643" s="1">
        <v>45050</v>
      </c>
      <c r="D643" t="s">
        <v>7</v>
      </c>
      <c r="E643">
        <v>39</v>
      </c>
      <c r="F643" t="s">
        <v>6</v>
      </c>
      <c r="G643" s="19">
        <v>151</v>
      </c>
      <c r="H643" t="s">
        <v>60</v>
      </c>
      <c r="I643">
        <v>2022</v>
      </c>
    </row>
    <row r="644" spans="1:9" x14ac:dyDescent="0.3">
      <c r="A644">
        <v>167711417</v>
      </c>
      <c r="B644" s="1">
        <v>44899</v>
      </c>
      <c r="C644" s="1">
        <v>45010</v>
      </c>
      <c r="D644" t="s">
        <v>7</v>
      </c>
      <c r="E644">
        <v>39</v>
      </c>
      <c r="F644" t="s">
        <v>6</v>
      </c>
      <c r="G644" s="19">
        <v>111</v>
      </c>
      <c r="H644" t="s">
        <v>60</v>
      </c>
      <c r="I644">
        <v>2022</v>
      </c>
    </row>
    <row r="645" spans="1:9" x14ac:dyDescent="0.3">
      <c r="A645">
        <v>157381517</v>
      </c>
      <c r="B645" s="1">
        <v>44900</v>
      </c>
      <c r="D645" t="s">
        <v>7</v>
      </c>
      <c r="E645">
        <v>39</v>
      </c>
      <c r="F645" t="s">
        <v>6</v>
      </c>
      <c r="H645" t="s">
        <v>61</v>
      </c>
      <c r="I645">
        <v>2022</v>
      </c>
    </row>
    <row r="646" spans="1:9" x14ac:dyDescent="0.3">
      <c r="A646">
        <v>162912102</v>
      </c>
      <c r="B646" s="1">
        <v>44900</v>
      </c>
      <c r="C646" s="1">
        <v>44901</v>
      </c>
      <c r="D646" t="s">
        <v>7</v>
      </c>
      <c r="E646">
        <v>39</v>
      </c>
      <c r="F646" t="s">
        <v>6</v>
      </c>
      <c r="G646" s="19">
        <v>1</v>
      </c>
      <c r="H646" t="s">
        <v>61</v>
      </c>
      <c r="I646">
        <v>2022</v>
      </c>
    </row>
    <row r="647" spans="1:9" x14ac:dyDescent="0.3">
      <c r="A647">
        <v>167833210</v>
      </c>
      <c r="B647" s="1">
        <v>44900</v>
      </c>
      <c r="C647" s="1">
        <v>45110</v>
      </c>
      <c r="D647" t="s">
        <v>7</v>
      </c>
      <c r="E647">
        <v>39</v>
      </c>
      <c r="F647" t="s">
        <v>6</v>
      </c>
      <c r="G647" s="19">
        <v>210</v>
      </c>
      <c r="H647" t="s">
        <v>61</v>
      </c>
      <c r="I647">
        <v>2022</v>
      </c>
    </row>
    <row r="648" spans="1:9" x14ac:dyDescent="0.3">
      <c r="A648">
        <v>165676999</v>
      </c>
      <c r="B648" s="1">
        <v>44900</v>
      </c>
      <c r="C648" s="1">
        <v>44962</v>
      </c>
      <c r="D648" t="s">
        <v>7</v>
      </c>
      <c r="E648">
        <v>39</v>
      </c>
      <c r="F648" t="s">
        <v>6</v>
      </c>
      <c r="G648" s="19">
        <v>62</v>
      </c>
      <c r="H648" t="s">
        <v>61</v>
      </c>
      <c r="I648">
        <v>2022</v>
      </c>
    </row>
    <row r="649" spans="1:9" x14ac:dyDescent="0.3">
      <c r="A649">
        <v>167253106</v>
      </c>
      <c r="B649" s="1">
        <v>44900</v>
      </c>
      <c r="C649" s="1">
        <v>44963</v>
      </c>
      <c r="D649" t="s">
        <v>7</v>
      </c>
      <c r="E649">
        <v>39</v>
      </c>
      <c r="F649" t="s">
        <v>6</v>
      </c>
      <c r="G649" s="19">
        <v>63</v>
      </c>
      <c r="H649" t="s">
        <v>61</v>
      </c>
      <c r="I649">
        <v>2022</v>
      </c>
    </row>
    <row r="650" spans="1:9" x14ac:dyDescent="0.3">
      <c r="A650">
        <v>168022972</v>
      </c>
      <c r="B650" s="1">
        <v>44900</v>
      </c>
      <c r="C650" s="1">
        <v>44939</v>
      </c>
      <c r="D650" t="s">
        <v>7</v>
      </c>
      <c r="E650">
        <v>39</v>
      </c>
      <c r="F650" t="s">
        <v>6</v>
      </c>
      <c r="G650" s="19">
        <v>39</v>
      </c>
      <c r="H650" t="s">
        <v>61</v>
      </c>
      <c r="I650">
        <v>2022</v>
      </c>
    </row>
    <row r="651" spans="1:9" x14ac:dyDescent="0.3">
      <c r="A651">
        <v>167315920</v>
      </c>
      <c r="B651" s="1">
        <v>44900</v>
      </c>
      <c r="C651" s="1">
        <v>44931</v>
      </c>
      <c r="D651" t="s">
        <v>7</v>
      </c>
      <c r="E651">
        <v>39</v>
      </c>
      <c r="F651" t="s">
        <v>6</v>
      </c>
      <c r="G651" s="19">
        <v>31</v>
      </c>
      <c r="H651" t="s">
        <v>61</v>
      </c>
      <c r="I651">
        <v>2022</v>
      </c>
    </row>
    <row r="652" spans="1:9" x14ac:dyDescent="0.3">
      <c r="A652">
        <v>167928962</v>
      </c>
      <c r="B652" s="1">
        <v>44900</v>
      </c>
      <c r="C652" s="1">
        <v>44924</v>
      </c>
      <c r="D652" t="s">
        <v>7</v>
      </c>
      <c r="E652">
        <v>39</v>
      </c>
      <c r="F652" t="s">
        <v>6</v>
      </c>
      <c r="G652" s="19">
        <v>24</v>
      </c>
      <c r="H652" t="s">
        <v>61</v>
      </c>
      <c r="I652">
        <v>2022</v>
      </c>
    </row>
    <row r="653" spans="1:9" x14ac:dyDescent="0.3">
      <c r="A653">
        <v>166211741</v>
      </c>
      <c r="B653" s="1">
        <v>44901</v>
      </c>
      <c r="C653" s="1">
        <v>45027</v>
      </c>
      <c r="D653" t="s">
        <v>7</v>
      </c>
      <c r="E653">
        <v>39</v>
      </c>
      <c r="F653" t="s">
        <v>6</v>
      </c>
      <c r="G653" s="19">
        <v>126</v>
      </c>
      <c r="H653" t="s">
        <v>62</v>
      </c>
      <c r="I653">
        <v>2022</v>
      </c>
    </row>
    <row r="654" spans="1:9" x14ac:dyDescent="0.3">
      <c r="A654">
        <v>161450418</v>
      </c>
      <c r="B654" s="1">
        <v>44901</v>
      </c>
      <c r="C654" s="1">
        <v>45050</v>
      </c>
      <c r="D654" t="s">
        <v>7</v>
      </c>
      <c r="E654">
        <v>39</v>
      </c>
      <c r="F654" t="s">
        <v>6</v>
      </c>
      <c r="G654" s="19">
        <v>149</v>
      </c>
      <c r="H654" t="s">
        <v>62</v>
      </c>
      <c r="I654">
        <v>2022</v>
      </c>
    </row>
    <row r="655" spans="1:9" x14ac:dyDescent="0.3">
      <c r="A655">
        <v>144961802</v>
      </c>
      <c r="B655" s="1">
        <v>44901</v>
      </c>
      <c r="C655" s="1">
        <v>44987</v>
      </c>
      <c r="D655" t="s">
        <v>7</v>
      </c>
      <c r="E655">
        <v>39</v>
      </c>
      <c r="F655" t="s">
        <v>6</v>
      </c>
      <c r="G655" s="19">
        <v>86</v>
      </c>
      <c r="H655" t="s">
        <v>62</v>
      </c>
      <c r="I655">
        <v>2022</v>
      </c>
    </row>
    <row r="656" spans="1:9" x14ac:dyDescent="0.3">
      <c r="A656">
        <v>168137404</v>
      </c>
      <c r="B656" s="1">
        <v>44901</v>
      </c>
      <c r="C656" s="1">
        <v>44958</v>
      </c>
      <c r="D656" t="s">
        <v>7</v>
      </c>
      <c r="E656">
        <v>39</v>
      </c>
      <c r="F656" t="s">
        <v>6</v>
      </c>
      <c r="G656" s="19">
        <v>57</v>
      </c>
      <c r="H656" t="s">
        <v>62</v>
      </c>
      <c r="I656">
        <v>2022</v>
      </c>
    </row>
    <row r="657" spans="1:9" x14ac:dyDescent="0.3">
      <c r="A657">
        <v>153441732</v>
      </c>
      <c r="B657" s="1">
        <v>44901</v>
      </c>
      <c r="C657" s="1">
        <v>44970</v>
      </c>
      <c r="D657" t="s">
        <v>7</v>
      </c>
      <c r="E657">
        <v>39</v>
      </c>
      <c r="F657" t="s">
        <v>6</v>
      </c>
      <c r="G657" s="19">
        <v>69</v>
      </c>
      <c r="H657" t="s">
        <v>62</v>
      </c>
      <c r="I657">
        <v>2022</v>
      </c>
    </row>
    <row r="658" spans="1:9" x14ac:dyDescent="0.3">
      <c r="A658">
        <v>167649041</v>
      </c>
      <c r="B658" s="1">
        <v>44901</v>
      </c>
      <c r="C658" s="1">
        <v>44957</v>
      </c>
      <c r="D658" t="s">
        <v>7</v>
      </c>
      <c r="E658">
        <v>39</v>
      </c>
      <c r="F658" t="s">
        <v>6</v>
      </c>
      <c r="G658" s="19">
        <v>56</v>
      </c>
      <c r="H658" t="s">
        <v>62</v>
      </c>
      <c r="I658">
        <v>2022</v>
      </c>
    </row>
    <row r="659" spans="1:9" x14ac:dyDescent="0.3">
      <c r="A659">
        <v>168089746</v>
      </c>
      <c r="B659" s="1">
        <v>44901</v>
      </c>
      <c r="C659" s="1">
        <v>44939</v>
      </c>
      <c r="D659" t="s">
        <v>7</v>
      </c>
      <c r="E659">
        <v>39</v>
      </c>
      <c r="F659" t="s">
        <v>6</v>
      </c>
      <c r="G659" s="19">
        <v>38</v>
      </c>
      <c r="H659" t="s">
        <v>62</v>
      </c>
      <c r="I659">
        <v>2022</v>
      </c>
    </row>
    <row r="660" spans="1:9" x14ac:dyDescent="0.3">
      <c r="A660">
        <v>158177274</v>
      </c>
      <c r="B660" s="1">
        <v>44901</v>
      </c>
      <c r="C660" s="1">
        <v>44952</v>
      </c>
      <c r="D660" t="s">
        <v>7</v>
      </c>
      <c r="E660">
        <v>39</v>
      </c>
      <c r="F660" t="s">
        <v>6</v>
      </c>
      <c r="G660" s="19">
        <v>51</v>
      </c>
      <c r="H660" t="s">
        <v>62</v>
      </c>
      <c r="I660">
        <v>2022</v>
      </c>
    </row>
    <row r="661" spans="1:9" x14ac:dyDescent="0.3">
      <c r="A661">
        <v>168061628</v>
      </c>
      <c r="B661" s="1">
        <v>44901</v>
      </c>
      <c r="C661" s="1">
        <v>44939</v>
      </c>
      <c r="D661" t="s">
        <v>7</v>
      </c>
      <c r="E661">
        <v>39</v>
      </c>
      <c r="F661" t="s">
        <v>6</v>
      </c>
      <c r="G661" s="19">
        <v>38</v>
      </c>
      <c r="H661" t="s">
        <v>62</v>
      </c>
      <c r="I661">
        <v>2022</v>
      </c>
    </row>
    <row r="662" spans="1:9" x14ac:dyDescent="0.3">
      <c r="A662">
        <v>168436401</v>
      </c>
      <c r="B662" s="1">
        <v>44902</v>
      </c>
      <c r="D662" t="s">
        <v>7</v>
      </c>
      <c r="E662">
        <v>39</v>
      </c>
      <c r="F662" t="s">
        <v>6</v>
      </c>
      <c r="H662" t="s">
        <v>63</v>
      </c>
      <c r="I662">
        <v>2022</v>
      </c>
    </row>
    <row r="663" spans="1:9" x14ac:dyDescent="0.3">
      <c r="A663">
        <v>126770376</v>
      </c>
      <c r="B663" s="1">
        <v>44902</v>
      </c>
      <c r="C663" s="1">
        <v>44928</v>
      </c>
      <c r="D663" t="s">
        <v>7</v>
      </c>
      <c r="E663">
        <v>39</v>
      </c>
      <c r="F663" t="s">
        <v>6</v>
      </c>
      <c r="G663" s="19">
        <v>26</v>
      </c>
      <c r="H663" t="s">
        <v>63</v>
      </c>
      <c r="I663">
        <v>2022</v>
      </c>
    </row>
    <row r="664" spans="1:9" x14ac:dyDescent="0.3">
      <c r="A664">
        <v>153468957</v>
      </c>
      <c r="B664" s="1">
        <v>44902</v>
      </c>
      <c r="C664" s="1">
        <v>44971</v>
      </c>
      <c r="D664" t="s">
        <v>7</v>
      </c>
      <c r="E664">
        <v>39</v>
      </c>
      <c r="F664" t="s">
        <v>6</v>
      </c>
      <c r="G664" s="19">
        <v>69</v>
      </c>
      <c r="H664" t="s">
        <v>63</v>
      </c>
      <c r="I664">
        <v>2022</v>
      </c>
    </row>
    <row r="665" spans="1:9" x14ac:dyDescent="0.3">
      <c r="A665">
        <v>168336474</v>
      </c>
      <c r="B665" s="1">
        <v>44902</v>
      </c>
      <c r="C665" s="1">
        <v>44984</v>
      </c>
      <c r="D665" t="s">
        <v>7</v>
      </c>
      <c r="E665">
        <v>39</v>
      </c>
      <c r="F665" t="s">
        <v>6</v>
      </c>
      <c r="G665" s="19">
        <v>82</v>
      </c>
      <c r="H665" t="s">
        <v>63</v>
      </c>
      <c r="I665">
        <v>2022</v>
      </c>
    </row>
    <row r="666" spans="1:9" x14ac:dyDescent="0.3">
      <c r="A666">
        <v>166929423</v>
      </c>
      <c r="B666" s="1">
        <v>44902</v>
      </c>
      <c r="C666" s="1">
        <v>44923</v>
      </c>
      <c r="D666" t="s">
        <v>7</v>
      </c>
      <c r="E666">
        <v>39</v>
      </c>
      <c r="F666" t="s">
        <v>6</v>
      </c>
      <c r="G666" s="19">
        <v>21</v>
      </c>
      <c r="H666" t="s">
        <v>63</v>
      </c>
      <c r="I666">
        <v>2022</v>
      </c>
    </row>
    <row r="667" spans="1:9" x14ac:dyDescent="0.3">
      <c r="A667">
        <v>163990458</v>
      </c>
      <c r="B667" s="1">
        <v>44902</v>
      </c>
      <c r="C667" s="1">
        <v>44917</v>
      </c>
      <c r="D667" t="s">
        <v>7</v>
      </c>
      <c r="E667">
        <v>39</v>
      </c>
      <c r="F667" t="s">
        <v>6</v>
      </c>
      <c r="G667" s="19">
        <v>15</v>
      </c>
      <c r="H667" t="s">
        <v>63</v>
      </c>
      <c r="I667">
        <v>2022</v>
      </c>
    </row>
    <row r="668" spans="1:9" x14ac:dyDescent="0.3">
      <c r="A668">
        <v>166411463</v>
      </c>
      <c r="B668" s="1">
        <v>44903</v>
      </c>
      <c r="D668" t="s">
        <v>7</v>
      </c>
      <c r="E668">
        <v>39</v>
      </c>
      <c r="F668" t="s">
        <v>6</v>
      </c>
      <c r="H668" t="s">
        <v>64</v>
      </c>
      <c r="I668">
        <v>2022</v>
      </c>
    </row>
    <row r="669" spans="1:9" x14ac:dyDescent="0.3">
      <c r="A669">
        <v>168433088</v>
      </c>
      <c r="B669" s="1">
        <v>44903</v>
      </c>
      <c r="D669" t="s">
        <v>7</v>
      </c>
      <c r="E669">
        <v>39</v>
      </c>
      <c r="F669" t="s">
        <v>6</v>
      </c>
      <c r="H669" t="s">
        <v>64</v>
      </c>
      <c r="I669">
        <v>2022</v>
      </c>
    </row>
    <row r="670" spans="1:9" x14ac:dyDescent="0.3">
      <c r="A670">
        <v>155426075</v>
      </c>
      <c r="B670" s="1">
        <v>44903</v>
      </c>
      <c r="D670" t="s">
        <v>7</v>
      </c>
      <c r="E670">
        <v>39</v>
      </c>
      <c r="F670" t="s">
        <v>6</v>
      </c>
      <c r="H670" t="s">
        <v>64</v>
      </c>
      <c r="I670">
        <v>2022</v>
      </c>
    </row>
    <row r="671" spans="1:9" x14ac:dyDescent="0.3">
      <c r="A671">
        <v>168555694</v>
      </c>
      <c r="B671" s="1">
        <v>44903</v>
      </c>
      <c r="C671" s="1">
        <v>44904</v>
      </c>
      <c r="D671" t="s">
        <v>8</v>
      </c>
      <c r="E671">
        <v>39</v>
      </c>
      <c r="F671" t="s">
        <v>6</v>
      </c>
      <c r="G671" s="19">
        <v>1</v>
      </c>
      <c r="H671" t="s">
        <v>64</v>
      </c>
      <c r="I671">
        <v>2022</v>
      </c>
    </row>
    <row r="672" spans="1:9" x14ac:dyDescent="0.3">
      <c r="A672">
        <v>162912102</v>
      </c>
      <c r="B672" s="1">
        <v>44903</v>
      </c>
      <c r="C672" s="1">
        <v>45061</v>
      </c>
      <c r="D672" t="s">
        <v>7</v>
      </c>
      <c r="E672">
        <v>39</v>
      </c>
      <c r="F672" t="s">
        <v>6</v>
      </c>
      <c r="G672" s="19">
        <v>158</v>
      </c>
      <c r="H672" t="s">
        <v>64</v>
      </c>
      <c r="I672">
        <v>2022</v>
      </c>
    </row>
    <row r="673" spans="1:9" x14ac:dyDescent="0.3">
      <c r="A673">
        <v>168471192</v>
      </c>
      <c r="B673" s="1">
        <v>44903</v>
      </c>
      <c r="C673" s="1">
        <v>44960</v>
      </c>
      <c r="D673" t="s">
        <v>7</v>
      </c>
      <c r="E673">
        <v>39</v>
      </c>
      <c r="F673" t="s">
        <v>6</v>
      </c>
      <c r="G673" s="19">
        <v>57</v>
      </c>
      <c r="H673" t="s">
        <v>64</v>
      </c>
      <c r="I673">
        <v>2022</v>
      </c>
    </row>
    <row r="674" spans="1:9" x14ac:dyDescent="0.3">
      <c r="A674">
        <v>168825734</v>
      </c>
      <c r="B674" s="1">
        <v>44903</v>
      </c>
      <c r="C674" s="1">
        <v>44941</v>
      </c>
      <c r="D674" t="s">
        <v>7</v>
      </c>
      <c r="E674">
        <v>39</v>
      </c>
      <c r="F674" t="s">
        <v>6</v>
      </c>
      <c r="G674" s="19">
        <v>38</v>
      </c>
      <c r="H674" t="s">
        <v>64</v>
      </c>
      <c r="I674">
        <v>2022</v>
      </c>
    </row>
    <row r="675" spans="1:9" x14ac:dyDescent="0.3">
      <c r="A675">
        <v>163852568</v>
      </c>
      <c r="B675" s="1">
        <v>44903</v>
      </c>
      <c r="C675" s="1">
        <v>44907</v>
      </c>
      <c r="D675" t="s">
        <v>7</v>
      </c>
      <c r="E675">
        <v>39</v>
      </c>
      <c r="F675" t="s">
        <v>6</v>
      </c>
      <c r="G675" s="19">
        <v>4</v>
      </c>
      <c r="H675" t="s">
        <v>64</v>
      </c>
      <c r="I675">
        <v>2022</v>
      </c>
    </row>
    <row r="676" spans="1:9" x14ac:dyDescent="0.3">
      <c r="A676">
        <v>168460834</v>
      </c>
      <c r="B676" s="1">
        <v>44903</v>
      </c>
      <c r="C676" s="1">
        <v>44922</v>
      </c>
      <c r="D676" t="s">
        <v>7</v>
      </c>
      <c r="E676">
        <v>39</v>
      </c>
      <c r="F676" t="s">
        <v>6</v>
      </c>
      <c r="G676" s="19">
        <v>19</v>
      </c>
      <c r="H676" t="s">
        <v>64</v>
      </c>
      <c r="I676">
        <v>2022</v>
      </c>
    </row>
    <row r="677" spans="1:9" x14ac:dyDescent="0.3">
      <c r="A677">
        <v>169085351</v>
      </c>
      <c r="B677" s="1">
        <v>44904</v>
      </c>
      <c r="C677" s="1">
        <v>45112</v>
      </c>
      <c r="D677" t="s">
        <v>7</v>
      </c>
      <c r="E677">
        <v>39</v>
      </c>
      <c r="F677" t="s">
        <v>6</v>
      </c>
      <c r="G677" s="19">
        <v>208</v>
      </c>
      <c r="H677" t="s">
        <v>65</v>
      </c>
      <c r="I677">
        <v>2022</v>
      </c>
    </row>
    <row r="678" spans="1:9" x14ac:dyDescent="0.3">
      <c r="A678">
        <v>168456070</v>
      </c>
      <c r="B678" s="1">
        <v>44904</v>
      </c>
      <c r="C678" s="1">
        <v>45038</v>
      </c>
      <c r="D678" t="s">
        <v>7</v>
      </c>
      <c r="E678">
        <v>39</v>
      </c>
      <c r="F678" t="s">
        <v>6</v>
      </c>
      <c r="G678" s="19">
        <v>134</v>
      </c>
      <c r="H678" t="s">
        <v>65</v>
      </c>
      <c r="I678">
        <v>2022</v>
      </c>
    </row>
    <row r="679" spans="1:9" x14ac:dyDescent="0.3">
      <c r="A679">
        <v>168900021</v>
      </c>
      <c r="B679" s="1">
        <v>44904</v>
      </c>
      <c r="C679" s="1">
        <v>44963</v>
      </c>
      <c r="D679" t="s">
        <v>7</v>
      </c>
      <c r="E679">
        <v>39</v>
      </c>
      <c r="F679" t="s">
        <v>6</v>
      </c>
      <c r="G679" s="19">
        <v>59</v>
      </c>
      <c r="H679" t="s">
        <v>65</v>
      </c>
      <c r="I679">
        <v>2022</v>
      </c>
    </row>
    <row r="680" spans="1:9" x14ac:dyDescent="0.3">
      <c r="A680">
        <v>169113748</v>
      </c>
      <c r="B680" s="1">
        <v>44904</v>
      </c>
      <c r="C680" s="1">
        <v>44939</v>
      </c>
      <c r="D680" t="s">
        <v>7</v>
      </c>
      <c r="E680">
        <v>39</v>
      </c>
      <c r="F680" t="s">
        <v>6</v>
      </c>
      <c r="G680" s="19">
        <v>35</v>
      </c>
      <c r="H680" t="s">
        <v>65</v>
      </c>
      <c r="I680">
        <v>2022</v>
      </c>
    </row>
    <row r="681" spans="1:9" x14ac:dyDescent="0.3">
      <c r="A681">
        <v>162193491</v>
      </c>
      <c r="B681" s="1">
        <v>44904</v>
      </c>
      <c r="C681" s="1">
        <v>44946</v>
      </c>
      <c r="D681" t="s">
        <v>7</v>
      </c>
      <c r="E681">
        <v>39</v>
      </c>
      <c r="F681" t="s">
        <v>6</v>
      </c>
      <c r="G681" s="19">
        <v>42</v>
      </c>
      <c r="H681" t="s">
        <v>65</v>
      </c>
      <c r="I681">
        <v>2022</v>
      </c>
    </row>
    <row r="682" spans="1:9" x14ac:dyDescent="0.3">
      <c r="A682">
        <v>167761722</v>
      </c>
      <c r="B682" s="1">
        <v>44904</v>
      </c>
      <c r="C682" s="1">
        <v>45123</v>
      </c>
      <c r="D682" t="s">
        <v>7</v>
      </c>
      <c r="E682">
        <v>39</v>
      </c>
      <c r="F682" t="s">
        <v>6</v>
      </c>
      <c r="G682" s="19">
        <v>219</v>
      </c>
      <c r="H682" t="s">
        <v>65</v>
      </c>
      <c r="I682">
        <v>2022</v>
      </c>
    </row>
    <row r="683" spans="1:9" x14ac:dyDescent="0.3">
      <c r="A683">
        <v>169244937</v>
      </c>
      <c r="B683" s="1">
        <v>44905</v>
      </c>
      <c r="C683" s="1">
        <v>44989</v>
      </c>
      <c r="D683" t="s">
        <v>7</v>
      </c>
      <c r="E683">
        <v>39</v>
      </c>
      <c r="F683" t="s">
        <v>6</v>
      </c>
      <c r="G683" s="19">
        <v>84</v>
      </c>
      <c r="H683" t="s">
        <v>66</v>
      </c>
      <c r="I683">
        <v>2022</v>
      </c>
    </row>
    <row r="684" spans="1:9" x14ac:dyDescent="0.3">
      <c r="A684">
        <v>167923504</v>
      </c>
      <c r="B684" s="1">
        <v>44905</v>
      </c>
      <c r="C684" s="1">
        <v>44965</v>
      </c>
      <c r="D684" t="s">
        <v>7</v>
      </c>
      <c r="E684">
        <v>39</v>
      </c>
      <c r="F684" t="s">
        <v>6</v>
      </c>
      <c r="G684" s="19">
        <v>60</v>
      </c>
      <c r="H684" t="s">
        <v>66</v>
      </c>
      <c r="I684">
        <v>2022</v>
      </c>
    </row>
    <row r="685" spans="1:9" x14ac:dyDescent="0.3">
      <c r="A685">
        <v>167459469</v>
      </c>
      <c r="B685" s="1">
        <v>44905</v>
      </c>
      <c r="C685" s="1">
        <v>44940</v>
      </c>
      <c r="D685" t="s">
        <v>7</v>
      </c>
      <c r="E685">
        <v>39</v>
      </c>
      <c r="F685" t="s">
        <v>6</v>
      </c>
      <c r="G685" s="19">
        <v>35</v>
      </c>
      <c r="H685" t="s">
        <v>66</v>
      </c>
      <c r="I685">
        <v>2022</v>
      </c>
    </row>
    <row r="686" spans="1:9" x14ac:dyDescent="0.3">
      <c r="A686">
        <v>123169152</v>
      </c>
      <c r="B686" s="1">
        <v>44905</v>
      </c>
      <c r="C686" s="1">
        <v>44929</v>
      </c>
      <c r="D686" t="s">
        <v>7</v>
      </c>
      <c r="E686">
        <v>39</v>
      </c>
      <c r="F686" t="s">
        <v>6</v>
      </c>
      <c r="G686" s="19">
        <v>24</v>
      </c>
      <c r="H686" t="s">
        <v>66</v>
      </c>
      <c r="I686">
        <v>2022</v>
      </c>
    </row>
    <row r="687" spans="1:9" x14ac:dyDescent="0.3">
      <c r="A687">
        <v>153157541</v>
      </c>
      <c r="B687" s="1">
        <v>44906</v>
      </c>
      <c r="D687" t="s">
        <v>7</v>
      </c>
      <c r="E687">
        <v>39</v>
      </c>
      <c r="F687" t="s">
        <v>6</v>
      </c>
      <c r="H687" t="s">
        <v>60</v>
      </c>
      <c r="I687">
        <v>2022</v>
      </c>
    </row>
    <row r="688" spans="1:9" x14ac:dyDescent="0.3">
      <c r="A688">
        <v>169133180</v>
      </c>
      <c r="B688" s="1">
        <v>44906</v>
      </c>
      <c r="D688" t="s">
        <v>7</v>
      </c>
      <c r="E688">
        <v>39</v>
      </c>
      <c r="F688" t="s">
        <v>6</v>
      </c>
      <c r="H688" t="s">
        <v>60</v>
      </c>
      <c r="I688">
        <v>2022</v>
      </c>
    </row>
    <row r="689" spans="1:9" x14ac:dyDescent="0.3">
      <c r="A689">
        <v>129447970</v>
      </c>
      <c r="B689" s="1">
        <v>44906</v>
      </c>
      <c r="C689" s="1">
        <v>44907</v>
      </c>
      <c r="D689" t="s">
        <v>7</v>
      </c>
      <c r="E689">
        <v>39</v>
      </c>
      <c r="F689" t="s">
        <v>6</v>
      </c>
      <c r="G689" s="19">
        <v>1</v>
      </c>
      <c r="H689" t="s">
        <v>60</v>
      </c>
      <c r="I689">
        <v>2022</v>
      </c>
    </row>
    <row r="690" spans="1:9" x14ac:dyDescent="0.3">
      <c r="A690">
        <v>169388365</v>
      </c>
      <c r="B690" s="1">
        <v>44906</v>
      </c>
      <c r="C690" s="1">
        <v>45095</v>
      </c>
      <c r="D690" t="s">
        <v>7</v>
      </c>
      <c r="E690">
        <v>39</v>
      </c>
      <c r="F690" t="s">
        <v>6</v>
      </c>
      <c r="G690" s="19">
        <v>189</v>
      </c>
      <c r="H690" t="s">
        <v>60</v>
      </c>
      <c r="I690">
        <v>2022</v>
      </c>
    </row>
    <row r="691" spans="1:9" x14ac:dyDescent="0.3">
      <c r="A691">
        <v>130872019</v>
      </c>
      <c r="B691" s="1">
        <v>44906</v>
      </c>
      <c r="C691" s="1">
        <v>45027</v>
      </c>
      <c r="D691" t="s">
        <v>7</v>
      </c>
      <c r="E691">
        <v>39</v>
      </c>
      <c r="F691" t="s">
        <v>6</v>
      </c>
      <c r="G691" s="19">
        <v>121</v>
      </c>
      <c r="H691" t="s">
        <v>60</v>
      </c>
      <c r="I691">
        <v>2022</v>
      </c>
    </row>
    <row r="692" spans="1:9" x14ac:dyDescent="0.3">
      <c r="A692">
        <v>167674086</v>
      </c>
      <c r="B692" s="1">
        <v>44906</v>
      </c>
      <c r="C692" s="1">
        <v>45047</v>
      </c>
      <c r="D692" t="s">
        <v>7</v>
      </c>
      <c r="E692">
        <v>39</v>
      </c>
      <c r="F692" t="s">
        <v>6</v>
      </c>
      <c r="G692" s="19">
        <v>141</v>
      </c>
      <c r="H692" t="s">
        <v>60</v>
      </c>
      <c r="I692">
        <v>2022</v>
      </c>
    </row>
    <row r="693" spans="1:9" x14ac:dyDescent="0.3">
      <c r="A693">
        <v>169590994</v>
      </c>
      <c r="B693" s="1">
        <v>44906</v>
      </c>
      <c r="C693" s="1">
        <v>44983</v>
      </c>
      <c r="D693" t="s">
        <v>7</v>
      </c>
      <c r="E693">
        <v>39</v>
      </c>
      <c r="F693" t="s">
        <v>6</v>
      </c>
      <c r="G693" s="19">
        <v>77</v>
      </c>
      <c r="H693" t="s">
        <v>60</v>
      </c>
      <c r="I693">
        <v>2022</v>
      </c>
    </row>
    <row r="694" spans="1:9" x14ac:dyDescent="0.3">
      <c r="A694">
        <v>166199181</v>
      </c>
      <c r="B694" s="1">
        <v>44906</v>
      </c>
      <c r="C694" s="1">
        <v>44944</v>
      </c>
      <c r="D694" t="s">
        <v>7</v>
      </c>
      <c r="E694">
        <v>39</v>
      </c>
      <c r="F694" t="s">
        <v>6</v>
      </c>
      <c r="G694" s="19">
        <v>38</v>
      </c>
      <c r="H694" t="s">
        <v>60</v>
      </c>
      <c r="I694">
        <v>2022</v>
      </c>
    </row>
    <row r="695" spans="1:9" x14ac:dyDescent="0.3">
      <c r="A695">
        <v>169895510</v>
      </c>
      <c r="B695" s="1">
        <v>44907</v>
      </c>
      <c r="D695" t="s">
        <v>7</v>
      </c>
      <c r="E695">
        <v>39</v>
      </c>
      <c r="F695" t="s">
        <v>6</v>
      </c>
      <c r="H695" t="s">
        <v>61</v>
      </c>
      <c r="I695">
        <v>2022</v>
      </c>
    </row>
    <row r="696" spans="1:9" x14ac:dyDescent="0.3">
      <c r="A696">
        <v>169837410</v>
      </c>
      <c r="B696" s="1">
        <v>44907</v>
      </c>
      <c r="D696" t="s">
        <v>7</v>
      </c>
      <c r="E696">
        <v>39</v>
      </c>
      <c r="F696" t="s">
        <v>6</v>
      </c>
      <c r="H696" t="s">
        <v>61</v>
      </c>
      <c r="I696">
        <v>2022</v>
      </c>
    </row>
    <row r="697" spans="1:9" x14ac:dyDescent="0.3">
      <c r="A697">
        <v>169854397</v>
      </c>
      <c r="B697" s="1">
        <v>44907</v>
      </c>
      <c r="D697" t="s">
        <v>8</v>
      </c>
      <c r="E697">
        <v>39</v>
      </c>
      <c r="F697" t="s">
        <v>6</v>
      </c>
      <c r="H697" t="s">
        <v>61</v>
      </c>
      <c r="I697">
        <v>2022</v>
      </c>
    </row>
    <row r="698" spans="1:9" x14ac:dyDescent="0.3">
      <c r="A698">
        <v>145987169</v>
      </c>
      <c r="B698" s="1">
        <v>44907</v>
      </c>
      <c r="C698" s="1">
        <v>44953</v>
      </c>
      <c r="D698" t="s">
        <v>7</v>
      </c>
      <c r="E698">
        <v>39</v>
      </c>
      <c r="F698" t="s">
        <v>6</v>
      </c>
      <c r="G698" s="19">
        <v>46</v>
      </c>
      <c r="H698" t="s">
        <v>61</v>
      </c>
      <c r="I698">
        <v>2022</v>
      </c>
    </row>
    <row r="699" spans="1:9" x14ac:dyDescent="0.3">
      <c r="A699">
        <v>169915574</v>
      </c>
      <c r="B699" s="1">
        <v>44907</v>
      </c>
      <c r="C699" s="1">
        <v>44998</v>
      </c>
      <c r="D699" t="s">
        <v>7</v>
      </c>
      <c r="E699">
        <v>39</v>
      </c>
      <c r="F699" t="s">
        <v>6</v>
      </c>
      <c r="G699" s="19">
        <v>91</v>
      </c>
      <c r="H699" t="s">
        <v>61</v>
      </c>
      <c r="I699">
        <v>2022</v>
      </c>
    </row>
    <row r="700" spans="1:9" x14ac:dyDescent="0.3">
      <c r="A700">
        <v>164632485</v>
      </c>
      <c r="B700" s="1">
        <v>44907</v>
      </c>
      <c r="C700" s="1">
        <v>44992</v>
      </c>
      <c r="D700" t="s">
        <v>7</v>
      </c>
      <c r="E700">
        <v>39</v>
      </c>
      <c r="F700" t="s">
        <v>6</v>
      </c>
      <c r="G700" s="19">
        <v>85</v>
      </c>
      <c r="H700" t="s">
        <v>61</v>
      </c>
      <c r="I700">
        <v>2022</v>
      </c>
    </row>
    <row r="701" spans="1:9" x14ac:dyDescent="0.3">
      <c r="A701">
        <v>169830063</v>
      </c>
      <c r="B701" s="1">
        <v>44907</v>
      </c>
      <c r="C701" s="1">
        <v>44956</v>
      </c>
      <c r="D701" t="s">
        <v>7</v>
      </c>
      <c r="E701">
        <v>39</v>
      </c>
      <c r="F701" t="s">
        <v>6</v>
      </c>
      <c r="G701" s="19">
        <v>49</v>
      </c>
      <c r="H701" t="s">
        <v>61</v>
      </c>
      <c r="I701">
        <v>2022</v>
      </c>
    </row>
    <row r="702" spans="1:9" x14ac:dyDescent="0.3">
      <c r="A702">
        <v>162624984</v>
      </c>
      <c r="B702" s="1">
        <v>44907</v>
      </c>
      <c r="C702" s="1">
        <v>44949</v>
      </c>
      <c r="D702" t="s">
        <v>7</v>
      </c>
      <c r="E702">
        <v>39</v>
      </c>
      <c r="F702" t="s">
        <v>6</v>
      </c>
      <c r="G702" s="19">
        <v>42</v>
      </c>
      <c r="H702" t="s">
        <v>61</v>
      </c>
      <c r="I702">
        <v>2022</v>
      </c>
    </row>
    <row r="703" spans="1:9" x14ac:dyDescent="0.3">
      <c r="A703">
        <v>169020452</v>
      </c>
      <c r="B703" s="1">
        <v>44907</v>
      </c>
      <c r="C703" s="1">
        <v>45147</v>
      </c>
      <c r="D703" t="s">
        <v>7</v>
      </c>
      <c r="E703">
        <v>39</v>
      </c>
      <c r="F703" t="s">
        <v>6</v>
      </c>
      <c r="G703" s="19">
        <v>240</v>
      </c>
      <c r="H703" t="s">
        <v>61</v>
      </c>
      <c r="I703">
        <v>2022</v>
      </c>
    </row>
    <row r="704" spans="1:9" x14ac:dyDescent="0.3">
      <c r="A704">
        <v>170037760</v>
      </c>
      <c r="B704" s="1">
        <v>44908</v>
      </c>
      <c r="D704" t="s">
        <v>7</v>
      </c>
      <c r="E704">
        <v>39</v>
      </c>
      <c r="F704" t="s">
        <v>6</v>
      </c>
      <c r="H704" t="s">
        <v>62</v>
      </c>
      <c r="I704">
        <v>2022</v>
      </c>
    </row>
    <row r="705" spans="1:9" x14ac:dyDescent="0.3">
      <c r="A705">
        <v>116060198</v>
      </c>
      <c r="B705" s="1">
        <v>44908</v>
      </c>
      <c r="C705" s="1">
        <v>45005</v>
      </c>
      <c r="D705" t="s">
        <v>7</v>
      </c>
      <c r="E705">
        <v>39</v>
      </c>
      <c r="F705" t="s">
        <v>6</v>
      </c>
      <c r="G705" s="19">
        <v>97</v>
      </c>
      <c r="H705" t="s">
        <v>62</v>
      </c>
      <c r="I705">
        <v>2022</v>
      </c>
    </row>
    <row r="706" spans="1:9" x14ac:dyDescent="0.3">
      <c r="A706">
        <v>129798657</v>
      </c>
      <c r="B706" s="1">
        <v>44908</v>
      </c>
      <c r="C706" s="1">
        <v>44998</v>
      </c>
      <c r="D706" t="s">
        <v>7</v>
      </c>
      <c r="E706">
        <v>39</v>
      </c>
      <c r="F706" t="s">
        <v>6</v>
      </c>
      <c r="G706" s="19">
        <v>90</v>
      </c>
      <c r="H706" t="s">
        <v>62</v>
      </c>
      <c r="I706">
        <v>2022</v>
      </c>
    </row>
    <row r="707" spans="1:9" x14ac:dyDescent="0.3">
      <c r="A707">
        <v>170426615</v>
      </c>
      <c r="B707" s="1">
        <v>44908</v>
      </c>
      <c r="C707" s="1">
        <v>44970</v>
      </c>
      <c r="D707" t="s">
        <v>7</v>
      </c>
      <c r="E707">
        <v>39</v>
      </c>
      <c r="F707" t="s">
        <v>6</v>
      </c>
      <c r="G707" s="19">
        <v>62</v>
      </c>
      <c r="H707" t="s">
        <v>62</v>
      </c>
      <c r="I707">
        <v>2022</v>
      </c>
    </row>
    <row r="708" spans="1:9" x14ac:dyDescent="0.3">
      <c r="A708">
        <v>161574018</v>
      </c>
      <c r="B708" s="1">
        <v>44908</v>
      </c>
      <c r="C708" s="1">
        <v>44978</v>
      </c>
      <c r="D708" t="s">
        <v>7</v>
      </c>
      <c r="E708">
        <v>39</v>
      </c>
      <c r="F708" t="s">
        <v>6</v>
      </c>
      <c r="G708" s="19">
        <v>70</v>
      </c>
      <c r="H708" t="s">
        <v>62</v>
      </c>
      <c r="I708">
        <v>2022</v>
      </c>
    </row>
    <row r="709" spans="1:9" x14ac:dyDescent="0.3">
      <c r="A709">
        <v>160272364</v>
      </c>
      <c r="B709" s="1">
        <v>44909</v>
      </c>
      <c r="D709" t="s">
        <v>7</v>
      </c>
      <c r="E709">
        <v>39</v>
      </c>
      <c r="F709" t="s">
        <v>6</v>
      </c>
      <c r="H709" t="s">
        <v>63</v>
      </c>
      <c r="I709">
        <v>2022</v>
      </c>
    </row>
    <row r="710" spans="1:9" x14ac:dyDescent="0.3">
      <c r="A710">
        <v>144938943</v>
      </c>
      <c r="B710" s="1">
        <v>44909</v>
      </c>
      <c r="D710" t="s">
        <v>8</v>
      </c>
      <c r="E710">
        <v>39</v>
      </c>
      <c r="F710" t="s">
        <v>6</v>
      </c>
      <c r="H710" t="s">
        <v>63</v>
      </c>
      <c r="I710">
        <v>2022</v>
      </c>
    </row>
    <row r="711" spans="1:9" x14ac:dyDescent="0.3">
      <c r="A711">
        <v>170004555</v>
      </c>
      <c r="B711" s="1">
        <v>44909</v>
      </c>
      <c r="C711" s="1">
        <v>44968</v>
      </c>
      <c r="D711" t="s">
        <v>7</v>
      </c>
      <c r="E711">
        <v>39</v>
      </c>
      <c r="F711" t="s">
        <v>6</v>
      </c>
      <c r="G711" s="19">
        <v>59</v>
      </c>
      <c r="H711" t="s">
        <v>63</v>
      </c>
      <c r="I711">
        <v>2022</v>
      </c>
    </row>
    <row r="712" spans="1:9" x14ac:dyDescent="0.3">
      <c r="A712">
        <v>167673987</v>
      </c>
      <c r="B712" s="1">
        <v>44909</v>
      </c>
      <c r="C712" s="1">
        <v>44978</v>
      </c>
      <c r="D712" t="s">
        <v>7</v>
      </c>
      <c r="E712">
        <v>39</v>
      </c>
      <c r="F712" t="s">
        <v>6</v>
      </c>
      <c r="G712" s="19">
        <v>69</v>
      </c>
      <c r="H712" t="s">
        <v>63</v>
      </c>
      <c r="I712">
        <v>2022</v>
      </c>
    </row>
    <row r="713" spans="1:9" x14ac:dyDescent="0.3">
      <c r="A713">
        <v>154448870</v>
      </c>
      <c r="B713" s="1">
        <v>44909</v>
      </c>
      <c r="C713" s="1">
        <v>44928</v>
      </c>
      <c r="D713" t="s">
        <v>7</v>
      </c>
      <c r="E713">
        <v>39</v>
      </c>
      <c r="F713" t="s">
        <v>6</v>
      </c>
      <c r="G713" s="19">
        <v>19</v>
      </c>
      <c r="H713" t="s">
        <v>63</v>
      </c>
      <c r="I713">
        <v>2022</v>
      </c>
    </row>
    <row r="714" spans="1:9" x14ac:dyDescent="0.3">
      <c r="A714">
        <v>153508650</v>
      </c>
      <c r="B714" s="1">
        <v>44909</v>
      </c>
      <c r="C714" s="1">
        <v>44957</v>
      </c>
      <c r="D714" t="s">
        <v>7</v>
      </c>
      <c r="E714">
        <v>39</v>
      </c>
      <c r="F714" t="s">
        <v>6</v>
      </c>
      <c r="G714" s="19">
        <v>48</v>
      </c>
      <c r="H714" t="s">
        <v>63</v>
      </c>
      <c r="I714">
        <v>2022</v>
      </c>
    </row>
    <row r="715" spans="1:9" x14ac:dyDescent="0.3">
      <c r="A715">
        <v>156521981</v>
      </c>
      <c r="B715" s="1">
        <v>44909</v>
      </c>
      <c r="C715" s="1">
        <v>44940</v>
      </c>
      <c r="D715" t="s">
        <v>7</v>
      </c>
      <c r="E715">
        <v>39</v>
      </c>
      <c r="F715" t="s">
        <v>6</v>
      </c>
      <c r="G715" s="19">
        <v>31</v>
      </c>
      <c r="H715" t="s">
        <v>63</v>
      </c>
      <c r="I715">
        <v>2022</v>
      </c>
    </row>
    <row r="716" spans="1:9" x14ac:dyDescent="0.3">
      <c r="A716">
        <v>170897520</v>
      </c>
      <c r="B716" s="1">
        <v>44909</v>
      </c>
      <c r="C716" s="1">
        <v>45111</v>
      </c>
      <c r="D716" t="s">
        <v>7</v>
      </c>
      <c r="E716">
        <v>39</v>
      </c>
      <c r="F716" t="s">
        <v>6</v>
      </c>
      <c r="G716" s="19">
        <v>202</v>
      </c>
      <c r="H716" t="s">
        <v>63</v>
      </c>
      <c r="I716">
        <v>2022</v>
      </c>
    </row>
    <row r="717" spans="1:9" x14ac:dyDescent="0.3">
      <c r="A717">
        <v>167076396</v>
      </c>
      <c r="B717" s="1">
        <v>44909</v>
      </c>
      <c r="C717" s="1">
        <v>45142</v>
      </c>
      <c r="D717" t="s">
        <v>7</v>
      </c>
      <c r="E717">
        <v>39</v>
      </c>
      <c r="F717" t="s">
        <v>6</v>
      </c>
      <c r="G717" s="19">
        <v>233</v>
      </c>
      <c r="H717" t="s">
        <v>63</v>
      </c>
      <c r="I717">
        <v>2022</v>
      </c>
    </row>
    <row r="718" spans="1:9" x14ac:dyDescent="0.3">
      <c r="A718">
        <v>170968987</v>
      </c>
      <c r="B718" s="1">
        <v>44910</v>
      </c>
      <c r="D718" t="s">
        <v>7</v>
      </c>
      <c r="E718">
        <v>39</v>
      </c>
      <c r="F718" t="s">
        <v>6</v>
      </c>
      <c r="H718" t="s">
        <v>64</v>
      </c>
      <c r="I718">
        <v>2022</v>
      </c>
    </row>
    <row r="719" spans="1:9" x14ac:dyDescent="0.3">
      <c r="A719">
        <v>170154956</v>
      </c>
      <c r="B719" s="1">
        <v>44910</v>
      </c>
      <c r="C719" s="1">
        <v>45034</v>
      </c>
      <c r="D719" t="s">
        <v>7</v>
      </c>
      <c r="E719">
        <v>39</v>
      </c>
      <c r="F719" t="s">
        <v>6</v>
      </c>
      <c r="G719" s="19">
        <v>124</v>
      </c>
      <c r="H719" t="s">
        <v>64</v>
      </c>
      <c r="I719">
        <v>2022</v>
      </c>
    </row>
    <row r="720" spans="1:9" x14ac:dyDescent="0.3">
      <c r="A720">
        <v>170976924</v>
      </c>
      <c r="B720" s="1">
        <v>44910</v>
      </c>
      <c r="C720" s="1">
        <v>45076</v>
      </c>
      <c r="D720" t="s">
        <v>7</v>
      </c>
      <c r="E720">
        <v>39</v>
      </c>
      <c r="F720" t="s">
        <v>6</v>
      </c>
      <c r="G720" s="19">
        <v>166</v>
      </c>
      <c r="H720" t="s">
        <v>64</v>
      </c>
      <c r="I720">
        <v>2022</v>
      </c>
    </row>
    <row r="721" spans="1:9" x14ac:dyDescent="0.3">
      <c r="A721">
        <v>171090027</v>
      </c>
      <c r="B721" s="1">
        <v>44910</v>
      </c>
      <c r="C721" s="1">
        <v>44999</v>
      </c>
      <c r="D721" t="s">
        <v>7</v>
      </c>
      <c r="E721">
        <v>39</v>
      </c>
      <c r="F721" t="s">
        <v>6</v>
      </c>
      <c r="G721" s="19">
        <v>89</v>
      </c>
      <c r="H721" t="s">
        <v>64</v>
      </c>
      <c r="I721">
        <v>2022</v>
      </c>
    </row>
    <row r="722" spans="1:9" x14ac:dyDescent="0.3">
      <c r="A722">
        <v>167135160</v>
      </c>
      <c r="B722" s="1">
        <v>44910</v>
      </c>
      <c r="C722" s="1">
        <v>44944</v>
      </c>
      <c r="D722" t="s">
        <v>7</v>
      </c>
      <c r="E722">
        <v>39</v>
      </c>
      <c r="F722" t="s">
        <v>6</v>
      </c>
      <c r="G722" s="19">
        <v>34</v>
      </c>
      <c r="H722" t="s">
        <v>64</v>
      </c>
      <c r="I722">
        <v>2022</v>
      </c>
    </row>
    <row r="723" spans="1:9" x14ac:dyDescent="0.3">
      <c r="A723">
        <v>171339244</v>
      </c>
      <c r="B723" s="1">
        <v>44910</v>
      </c>
      <c r="C723" s="1">
        <v>44910</v>
      </c>
      <c r="D723" t="s">
        <v>7</v>
      </c>
      <c r="E723">
        <v>39</v>
      </c>
      <c r="F723" t="s">
        <v>6</v>
      </c>
      <c r="G723" s="19">
        <v>0</v>
      </c>
      <c r="H723" t="s">
        <v>64</v>
      </c>
      <c r="I723">
        <v>2022</v>
      </c>
    </row>
    <row r="724" spans="1:9" x14ac:dyDescent="0.3">
      <c r="A724">
        <v>169285280</v>
      </c>
      <c r="B724" s="1">
        <v>44911</v>
      </c>
      <c r="C724" s="1">
        <v>44912</v>
      </c>
      <c r="D724" t="s">
        <v>8</v>
      </c>
      <c r="E724">
        <v>39</v>
      </c>
      <c r="F724" t="s">
        <v>6</v>
      </c>
      <c r="G724" s="19">
        <v>1</v>
      </c>
      <c r="H724" t="s">
        <v>65</v>
      </c>
      <c r="I724">
        <v>2022</v>
      </c>
    </row>
    <row r="725" spans="1:9" x14ac:dyDescent="0.3">
      <c r="A725">
        <v>137315832</v>
      </c>
      <c r="B725" s="1">
        <v>44911</v>
      </c>
      <c r="C725" s="1">
        <v>45008</v>
      </c>
      <c r="D725" t="s">
        <v>7</v>
      </c>
      <c r="E725">
        <v>39</v>
      </c>
      <c r="F725" t="s">
        <v>6</v>
      </c>
      <c r="G725" s="19">
        <v>97</v>
      </c>
      <c r="H725" t="s">
        <v>65</v>
      </c>
      <c r="I725">
        <v>2022</v>
      </c>
    </row>
    <row r="726" spans="1:9" x14ac:dyDescent="0.3">
      <c r="A726">
        <v>171286538</v>
      </c>
      <c r="B726" s="1">
        <v>44911</v>
      </c>
      <c r="C726" s="1">
        <v>45029</v>
      </c>
      <c r="D726" t="s">
        <v>7</v>
      </c>
      <c r="E726">
        <v>39</v>
      </c>
      <c r="F726" t="s">
        <v>6</v>
      </c>
      <c r="G726" s="19">
        <v>118</v>
      </c>
      <c r="H726" t="s">
        <v>65</v>
      </c>
      <c r="I726">
        <v>2022</v>
      </c>
    </row>
    <row r="727" spans="1:9" x14ac:dyDescent="0.3">
      <c r="A727">
        <v>154531106</v>
      </c>
      <c r="B727" s="1">
        <v>44911</v>
      </c>
      <c r="C727" s="1">
        <v>45030</v>
      </c>
      <c r="D727" t="s">
        <v>7</v>
      </c>
      <c r="E727">
        <v>39</v>
      </c>
      <c r="F727" t="s">
        <v>6</v>
      </c>
      <c r="G727" s="19">
        <v>119</v>
      </c>
      <c r="H727" t="s">
        <v>65</v>
      </c>
      <c r="I727">
        <v>2022</v>
      </c>
    </row>
    <row r="728" spans="1:9" x14ac:dyDescent="0.3">
      <c r="A728">
        <v>169998988</v>
      </c>
      <c r="B728" s="1">
        <v>44911</v>
      </c>
      <c r="C728" s="1">
        <v>45063</v>
      </c>
      <c r="D728" t="s">
        <v>7</v>
      </c>
      <c r="E728">
        <v>39</v>
      </c>
      <c r="F728" t="s">
        <v>6</v>
      </c>
      <c r="G728" s="19">
        <v>152</v>
      </c>
      <c r="H728" t="s">
        <v>65</v>
      </c>
      <c r="I728">
        <v>2022</v>
      </c>
    </row>
    <row r="729" spans="1:9" x14ac:dyDescent="0.3">
      <c r="A729">
        <v>171860036</v>
      </c>
      <c r="B729" s="1">
        <v>44911</v>
      </c>
      <c r="C729" s="1">
        <v>45003</v>
      </c>
      <c r="D729" t="s">
        <v>7</v>
      </c>
      <c r="E729">
        <v>39</v>
      </c>
      <c r="F729" t="s">
        <v>6</v>
      </c>
      <c r="G729" s="19">
        <v>92</v>
      </c>
      <c r="H729" t="s">
        <v>65</v>
      </c>
      <c r="I729">
        <v>2022</v>
      </c>
    </row>
    <row r="730" spans="1:9" x14ac:dyDescent="0.3">
      <c r="A730">
        <v>169906376</v>
      </c>
      <c r="B730" s="1">
        <v>44911</v>
      </c>
      <c r="C730" s="1">
        <v>44970</v>
      </c>
      <c r="D730" t="s">
        <v>7</v>
      </c>
      <c r="E730">
        <v>39</v>
      </c>
      <c r="F730" t="s">
        <v>6</v>
      </c>
      <c r="G730" s="19">
        <v>59</v>
      </c>
      <c r="H730" t="s">
        <v>65</v>
      </c>
      <c r="I730">
        <v>2022</v>
      </c>
    </row>
    <row r="731" spans="1:9" x14ac:dyDescent="0.3">
      <c r="A731">
        <v>171681744</v>
      </c>
      <c r="B731" s="1">
        <v>44911</v>
      </c>
      <c r="C731" s="1">
        <v>44979</v>
      </c>
      <c r="D731" t="s">
        <v>7</v>
      </c>
      <c r="E731">
        <v>39</v>
      </c>
      <c r="F731" t="s">
        <v>6</v>
      </c>
      <c r="G731" s="19">
        <v>68</v>
      </c>
      <c r="H731" t="s">
        <v>65</v>
      </c>
      <c r="I731">
        <v>2022</v>
      </c>
    </row>
    <row r="732" spans="1:9" x14ac:dyDescent="0.3">
      <c r="A732">
        <v>171375108</v>
      </c>
      <c r="B732" s="1">
        <v>44911</v>
      </c>
      <c r="C732" s="1">
        <v>44942</v>
      </c>
      <c r="D732" t="s">
        <v>7</v>
      </c>
      <c r="E732">
        <v>39</v>
      </c>
      <c r="F732" t="s">
        <v>6</v>
      </c>
      <c r="G732" s="19">
        <v>31</v>
      </c>
      <c r="H732" t="s">
        <v>65</v>
      </c>
      <c r="I732">
        <v>2022</v>
      </c>
    </row>
    <row r="733" spans="1:9" x14ac:dyDescent="0.3">
      <c r="A733">
        <v>166358674</v>
      </c>
      <c r="B733" s="1">
        <v>44911</v>
      </c>
      <c r="C733" s="1">
        <v>44949</v>
      </c>
      <c r="D733" t="s">
        <v>7</v>
      </c>
      <c r="E733">
        <v>39</v>
      </c>
      <c r="F733" t="s">
        <v>6</v>
      </c>
      <c r="G733" s="19">
        <v>38</v>
      </c>
      <c r="H733" t="s">
        <v>65</v>
      </c>
      <c r="I733">
        <v>2022</v>
      </c>
    </row>
    <row r="734" spans="1:9" x14ac:dyDescent="0.3">
      <c r="A734">
        <v>168696864</v>
      </c>
      <c r="B734" s="1">
        <v>44912</v>
      </c>
      <c r="C734" s="1">
        <v>44913</v>
      </c>
      <c r="D734" t="s">
        <v>7</v>
      </c>
      <c r="E734">
        <v>39</v>
      </c>
      <c r="F734" t="s">
        <v>6</v>
      </c>
      <c r="G734" s="19">
        <v>1</v>
      </c>
      <c r="H734" t="s">
        <v>66</v>
      </c>
      <c r="I734">
        <v>2022</v>
      </c>
    </row>
    <row r="735" spans="1:9" x14ac:dyDescent="0.3">
      <c r="A735">
        <v>149303812</v>
      </c>
      <c r="B735" s="1">
        <v>44912</v>
      </c>
      <c r="C735" s="1">
        <v>44977</v>
      </c>
      <c r="D735" t="s">
        <v>7</v>
      </c>
      <c r="E735">
        <v>39</v>
      </c>
      <c r="F735" t="s">
        <v>6</v>
      </c>
      <c r="G735" s="19">
        <v>65</v>
      </c>
      <c r="H735" t="s">
        <v>66</v>
      </c>
      <c r="I735">
        <v>2022</v>
      </c>
    </row>
    <row r="736" spans="1:9" x14ac:dyDescent="0.3">
      <c r="A736">
        <v>145969392</v>
      </c>
      <c r="B736" s="1">
        <v>44912</v>
      </c>
      <c r="C736" s="1">
        <v>44958</v>
      </c>
      <c r="D736" t="s">
        <v>7</v>
      </c>
      <c r="E736">
        <v>39</v>
      </c>
      <c r="F736" t="s">
        <v>6</v>
      </c>
      <c r="G736" s="19">
        <v>46</v>
      </c>
      <c r="H736" t="s">
        <v>66</v>
      </c>
      <c r="I736">
        <v>2022</v>
      </c>
    </row>
    <row r="737" spans="1:9" x14ac:dyDescent="0.3">
      <c r="A737">
        <v>169399624</v>
      </c>
      <c r="B737" s="1">
        <v>44912</v>
      </c>
      <c r="C737" s="1">
        <v>44967</v>
      </c>
      <c r="D737" t="s">
        <v>7</v>
      </c>
      <c r="E737">
        <v>39</v>
      </c>
      <c r="F737" t="s">
        <v>6</v>
      </c>
      <c r="G737" s="19">
        <v>55</v>
      </c>
      <c r="H737" t="s">
        <v>66</v>
      </c>
      <c r="I737">
        <v>2022</v>
      </c>
    </row>
    <row r="738" spans="1:9" x14ac:dyDescent="0.3">
      <c r="A738">
        <v>162423643</v>
      </c>
      <c r="B738" s="1">
        <v>44912</v>
      </c>
      <c r="C738" s="1">
        <v>44912</v>
      </c>
      <c r="D738" t="s">
        <v>7</v>
      </c>
      <c r="E738">
        <v>39</v>
      </c>
      <c r="F738" t="s">
        <v>6</v>
      </c>
      <c r="G738" s="19">
        <v>0</v>
      </c>
      <c r="H738" t="s">
        <v>66</v>
      </c>
      <c r="I738">
        <v>2022</v>
      </c>
    </row>
    <row r="739" spans="1:9" x14ac:dyDescent="0.3">
      <c r="A739">
        <v>171131528</v>
      </c>
      <c r="B739" s="1">
        <v>44913</v>
      </c>
      <c r="D739" t="s">
        <v>7</v>
      </c>
      <c r="E739">
        <v>39</v>
      </c>
      <c r="F739" t="s">
        <v>6</v>
      </c>
      <c r="H739" t="s">
        <v>60</v>
      </c>
      <c r="I739">
        <v>2022</v>
      </c>
    </row>
    <row r="740" spans="1:9" x14ac:dyDescent="0.3">
      <c r="A740">
        <v>172370430</v>
      </c>
      <c r="B740" s="1">
        <v>44913</v>
      </c>
      <c r="C740" s="1">
        <v>44914</v>
      </c>
      <c r="D740" t="s">
        <v>8</v>
      </c>
      <c r="E740">
        <v>39</v>
      </c>
      <c r="F740" t="s">
        <v>6</v>
      </c>
      <c r="G740" s="19">
        <v>1</v>
      </c>
      <c r="H740" t="s">
        <v>60</v>
      </c>
      <c r="I740">
        <v>2022</v>
      </c>
    </row>
    <row r="741" spans="1:9" x14ac:dyDescent="0.3">
      <c r="A741">
        <v>122646091</v>
      </c>
      <c r="B741" s="1">
        <v>44913</v>
      </c>
      <c r="C741" s="1">
        <v>45006</v>
      </c>
      <c r="D741" t="s">
        <v>7</v>
      </c>
      <c r="E741">
        <v>39</v>
      </c>
      <c r="F741" t="s">
        <v>6</v>
      </c>
      <c r="G741" s="19">
        <v>93</v>
      </c>
      <c r="H741" t="s">
        <v>60</v>
      </c>
      <c r="I741">
        <v>2022</v>
      </c>
    </row>
    <row r="742" spans="1:9" x14ac:dyDescent="0.3">
      <c r="A742">
        <v>171688728</v>
      </c>
      <c r="B742" s="1">
        <v>44913</v>
      </c>
      <c r="C742" s="1">
        <v>44939</v>
      </c>
      <c r="D742" t="s">
        <v>7</v>
      </c>
      <c r="E742">
        <v>39</v>
      </c>
      <c r="F742" t="s">
        <v>6</v>
      </c>
      <c r="G742" s="19">
        <v>26</v>
      </c>
      <c r="H742" t="s">
        <v>60</v>
      </c>
      <c r="I742">
        <v>2022</v>
      </c>
    </row>
    <row r="743" spans="1:9" x14ac:dyDescent="0.3">
      <c r="A743">
        <v>173037778</v>
      </c>
      <c r="B743" s="1">
        <v>44913</v>
      </c>
      <c r="C743" s="1">
        <v>44953</v>
      </c>
      <c r="D743" t="s">
        <v>7</v>
      </c>
      <c r="E743">
        <v>39</v>
      </c>
      <c r="F743" t="s">
        <v>6</v>
      </c>
      <c r="G743" s="19">
        <v>40</v>
      </c>
      <c r="H743" t="s">
        <v>60</v>
      </c>
      <c r="I743">
        <v>2022</v>
      </c>
    </row>
    <row r="744" spans="1:9" x14ac:dyDescent="0.3">
      <c r="A744">
        <v>139247241</v>
      </c>
      <c r="B744" s="1">
        <v>44913</v>
      </c>
      <c r="C744" s="1">
        <v>44933</v>
      </c>
      <c r="D744" t="s">
        <v>7</v>
      </c>
      <c r="E744">
        <v>39</v>
      </c>
      <c r="F744" t="s">
        <v>6</v>
      </c>
      <c r="G744" s="19">
        <v>20</v>
      </c>
      <c r="H744" t="s">
        <v>60</v>
      </c>
      <c r="I744">
        <v>2022</v>
      </c>
    </row>
    <row r="745" spans="1:9" x14ac:dyDescent="0.3">
      <c r="A745">
        <v>138235674</v>
      </c>
      <c r="B745" s="1">
        <v>44914</v>
      </c>
      <c r="D745" t="s">
        <v>7</v>
      </c>
      <c r="E745">
        <v>39</v>
      </c>
      <c r="F745" t="s">
        <v>6</v>
      </c>
      <c r="H745" t="s">
        <v>61</v>
      </c>
      <c r="I745">
        <v>2022</v>
      </c>
    </row>
    <row r="746" spans="1:9" x14ac:dyDescent="0.3">
      <c r="A746">
        <v>173832314</v>
      </c>
      <c r="B746" s="1">
        <v>44914</v>
      </c>
      <c r="C746" s="1">
        <v>44983</v>
      </c>
      <c r="D746" t="s">
        <v>7</v>
      </c>
      <c r="E746">
        <v>39</v>
      </c>
      <c r="F746" t="s">
        <v>6</v>
      </c>
      <c r="G746" s="19">
        <v>69</v>
      </c>
      <c r="H746" t="s">
        <v>61</v>
      </c>
      <c r="I746">
        <v>2022</v>
      </c>
    </row>
    <row r="747" spans="1:9" x14ac:dyDescent="0.3">
      <c r="A747">
        <v>170752898</v>
      </c>
      <c r="B747" s="1">
        <v>44914</v>
      </c>
      <c r="C747" s="1">
        <v>44980</v>
      </c>
      <c r="D747" t="s">
        <v>7</v>
      </c>
      <c r="E747">
        <v>39</v>
      </c>
      <c r="F747" t="s">
        <v>6</v>
      </c>
      <c r="G747" s="19">
        <v>66</v>
      </c>
      <c r="H747" t="s">
        <v>61</v>
      </c>
      <c r="I747">
        <v>2022</v>
      </c>
    </row>
    <row r="748" spans="1:9" x14ac:dyDescent="0.3">
      <c r="A748">
        <v>172517999</v>
      </c>
      <c r="B748" s="1">
        <v>44914</v>
      </c>
      <c r="C748" s="1">
        <v>44952</v>
      </c>
      <c r="D748" t="s">
        <v>7</v>
      </c>
      <c r="E748">
        <v>39</v>
      </c>
      <c r="F748" t="s">
        <v>6</v>
      </c>
      <c r="G748" s="19">
        <v>38</v>
      </c>
      <c r="H748" t="s">
        <v>61</v>
      </c>
      <c r="I748">
        <v>2022</v>
      </c>
    </row>
    <row r="749" spans="1:9" x14ac:dyDescent="0.3">
      <c r="A749">
        <v>150779000</v>
      </c>
      <c r="B749" s="1">
        <v>44914</v>
      </c>
      <c r="C749" s="1">
        <v>44928</v>
      </c>
      <c r="D749" t="s">
        <v>7</v>
      </c>
      <c r="E749">
        <v>39</v>
      </c>
      <c r="F749" t="s">
        <v>6</v>
      </c>
      <c r="G749" s="19">
        <v>14</v>
      </c>
      <c r="H749" t="s">
        <v>61</v>
      </c>
      <c r="I749">
        <v>2022</v>
      </c>
    </row>
    <row r="750" spans="1:9" x14ac:dyDescent="0.3">
      <c r="A750">
        <v>171304646</v>
      </c>
      <c r="B750" s="1">
        <v>44914</v>
      </c>
      <c r="C750" s="1">
        <v>45164</v>
      </c>
      <c r="D750" t="s">
        <v>7</v>
      </c>
      <c r="E750">
        <v>39</v>
      </c>
      <c r="F750" t="s">
        <v>6</v>
      </c>
      <c r="G750" s="19">
        <v>250</v>
      </c>
      <c r="H750" t="s">
        <v>61</v>
      </c>
      <c r="I750">
        <v>2022</v>
      </c>
    </row>
    <row r="751" spans="1:9" x14ac:dyDescent="0.3">
      <c r="A751">
        <v>168696864</v>
      </c>
      <c r="B751" s="1">
        <v>44915</v>
      </c>
      <c r="D751" t="s">
        <v>7</v>
      </c>
      <c r="E751">
        <v>39</v>
      </c>
      <c r="F751" t="s">
        <v>6</v>
      </c>
      <c r="H751" t="s">
        <v>62</v>
      </c>
      <c r="I751">
        <v>2022</v>
      </c>
    </row>
    <row r="752" spans="1:9" x14ac:dyDescent="0.3">
      <c r="A752">
        <v>174268714</v>
      </c>
      <c r="B752" s="1">
        <v>44915</v>
      </c>
      <c r="D752" t="s">
        <v>7</v>
      </c>
      <c r="E752">
        <v>39</v>
      </c>
      <c r="F752" t="s">
        <v>6</v>
      </c>
      <c r="H752" t="s">
        <v>62</v>
      </c>
      <c r="I752">
        <v>2022</v>
      </c>
    </row>
    <row r="753" spans="1:9" x14ac:dyDescent="0.3">
      <c r="A753">
        <v>147022677</v>
      </c>
      <c r="B753" s="1">
        <v>44915</v>
      </c>
      <c r="D753" t="s">
        <v>7</v>
      </c>
      <c r="E753">
        <v>39</v>
      </c>
      <c r="F753" t="s">
        <v>6</v>
      </c>
      <c r="H753" t="s">
        <v>62</v>
      </c>
      <c r="I753">
        <v>2022</v>
      </c>
    </row>
    <row r="754" spans="1:9" x14ac:dyDescent="0.3">
      <c r="A754">
        <v>156864062</v>
      </c>
      <c r="B754" s="1">
        <v>44915</v>
      </c>
      <c r="C754" s="1">
        <v>44916</v>
      </c>
      <c r="D754" t="s">
        <v>8</v>
      </c>
      <c r="E754">
        <v>39</v>
      </c>
      <c r="F754" t="s">
        <v>6</v>
      </c>
      <c r="G754" s="19">
        <v>1</v>
      </c>
      <c r="H754" t="s">
        <v>62</v>
      </c>
      <c r="I754">
        <v>2022</v>
      </c>
    </row>
    <row r="755" spans="1:9" x14ac:dyDescent="0.3">
      <c r="A755">
        <v>123065349</v>
      </c>
      <c r="B755" s="1">
        <v>44915</v>
      </c>
      <c r="C755" s="1">
        <v>45012</v>
      </c>
      <c r="D755" t="s">
        <v>7</v>
      </c>
      <c r="E755">
        <v>39</v>
      </c>
      <c r="F755" t="s">
        <v>6</v>
      </c>
      <c r="G755" s="19">
        <v>97</v>
      </c>
      <c r="H755" t="s">
        <v>62</v>
      </c>
      <c r="I755">
        <v>2022</v>
      </c>
    </row>
    <row r="756" spans="1:9" x14ac:dyDescent="0.3">
      <c r="A756">
        <v>174258180</v>
      </c>
      <c r="B756" s="1">
        <v>44915</v>
      </c>
      <c r="C756" s="1">
        <v>45045</v>
      </c>
      <c r="D756" t="s">
        <v>7</v>
      </c>
      <c r="E756">
        <v>39</v>
      </c>
      <c r="F756" t="s">
        <v>6</v>
      </c>
      <c r="G756" s="19">
        <v>130</v>
      </c>
      <c r="H756" t="s">
        <v>62</v>
      </c>
      <c r="I756">
        <v>2022</v>
      </c>
    </row>
    <row r="757" spans="1:9" x14ac:dyDescent="0.3">
      <c r="A757">
        <v>174269667</v>
      </c>
      <c r="B757" s="1">
        <v>44915</v>
      </c>
      <c r="C757" s="1">
        <v>44988</v>
      </c>
      <c r="D757" t="s">
        <v>7</v>
      </c>
      <c r="E757">
        <v>39</v>
      </c>
      <c r="F757" t="s">
        <v>6</v>
      </c>
      <c r="G757" s="19">
        <v>73</v>
      </c>
      <c r="H757" t="s">
        <v>62</v>
      </c>
      <c r="I757">
        <v>2022</v>
      </c>
    </row>
    <row r="758" spans="1:9" x14ac:dyDescent="0.3">
      <c r="A758">
        <v>171889946</v>
      </c>
      <c r="B758" s="1">
        <v>44915</v>
      </c>
      <c r="C758" s="1">
        <v>44967</v>
      </c>
      <c r="D758" t="s">
        <v>7</v>
      </c>
      <c r="E758">
        <v>39</v>
      </c>
      <c r="F758" t="s">
        <v>6</v>
      </c>
      <c r="G758" s="19">
        <v>52</v>
      </c>
      <c r="H758" t="s">
        <v>62</v>
      </c>
      <c r="I758">
        <v>2022</v>
      </c>
    </row>
    <row r="759" spans="1:9" x14ac:dyDescent="0.3">
      <c r="A759">
        <v>171613468</v>
      </c>
      <c r="B759" s="1">
        <v>44915</v>
      </c>
      <c r="C759" s="1">
        <v>44979</v>
      </c>
      <c r="D759" t="s">
        <v>7</v>
      </c>
      <c r="E759">
        <v>39</v>
      </c>
      <c r="F759" t="s">
        <v>6</v>
      </c>
      <c r="G759" s="19">
        <v>64</v>
      </c>
      <c r="H759" t="s">
        <v>62</v>
      </c>
      <c r="I759">
        <v>2022</v>
      </c>
    </row>
    <row r="760" spans="1:9" x14ac:dyDescent="0.3">
      <c r="A760">
        <v>122922737</v>
      </c>
      <c r="B760" s="1">
        <v>44916</v>
      </c>
      <c r="D760" t="s">
        <v>7</v>
      </c>
      <c r="E760">
        <v>39</v>
      </c>
      <c r="F760" t="s">
        <v>6</v>
      </c>
      <c r="H760" t="s">
        <v>63</v>
      </c>
      <c r="I760">
        <v>2022</v>
      </c>
    </row>
    <row r="761" spans="1:9" x14ac:dyDescent="0.3">
      <c r="A761">
        <v>174646924</v>
      </c>
      <c r="B761" s="1">
        <v>44916</v>
      </c>
      <c r="C761" s="1">
        <v>45013</v>
      </c>
      <c r="D761" t="s">
        <v>7</v>
      </c>
      <c r="E761">
        <v>39</v>
      </c>
      <c r="F761" t="s">
        <v>6</v>
      </c>
      <c r="G761" s="19">
        <v>97</v>
      </c>
      <c r="H761" t="s">
        <v>63</v>
      </c>
      <c r="I761">
        <v>2022</v>
      </c>
    </row>
    <row r="762" spans="1:9" x14ac:dyDescent="0.3">
      <c r="A762">
        <v>174264280</v>
      </c>
      <c r="B762" s="1">
        <v>44916</v>
      </c>
      <c r="C762" s="1">
        <v>45013</v>
      </c>
      <c r="D762" t="s">
        <v>7</v>
      </c>
      <c r="E762">
        <v>39</v>
      </c>
      <c r="F762" t="s">
        <v>6</v>
      </c>
      <c r="G762" s="19">
        <v>97</v>
      </c>
      <c r="H762" t="s">
        <v>63</v>
      </c>
      <c r="I762">
        <v>2022</v>
      </c>
    </row>
    <row r="763" spans="1:9" x14ac:dyDescent="0.3">
      <c r="A763">
        <v>174609120</v>
      </c>
      <c r="B763" s="1">
        <v>44916</v>
      </c>
      <c r="C763" s="1">
        <v>45003</v>
      </c>
      <c r="D763" t="s">
        <v>7</v>
      </c>
      <c r="E763">
        <v>39</v>
      </c>
      <c r="F763" t="s">
        <v>6</v>
      </c>
      <c r="G763" s="19">
        <v>87</v>
      </c>
      <c r="H763" t="s">
        <v>63</v>
      </c>
      <c r="I763">
        <v>2022</v>
      </c>
    </row>
    <row r="764" spans="1:9" x14ac:dyDescent="0.3">
      <c r="A764">
        <v>174158995</v>
      </c>
      <c r="B764" s="1">
        <v>44916</v>
      </c>
      <c r="C764" s="1">
        <v>44982</v>
      </c>
      <c r="D764" t="s">
        <v>7</v>
      </c>
      <c r="E764">
        <v>39</v>
      </c>
      <c r="F764" t="s">
        <v>6</v>
      </c>
      <c r="G764" s="19">
        <v>66</v>
      </c>
      <c r="H764" t="s">
        <v>63</v>
      </c>
      <c r="I764">
        <v>2022</v>
      </c>
    </row>
    <row r="765" spans="1:9" x14ac:dyDescent="0.3">
      <c r="A765">
        <v>174484311</v>
      </c>
      <c r="B765" s="1">
        <v>44916</v>
      </c>
      <c r="C765" s="1">
        <v>44982</v>
      </c>
      <c r="D765" t="s">
        <v>7</v>
      </c>
      <c r="E765">
        <v>39</v>
      </c>
      <c r="F765" t="s">
        <v>6</v>
      </c>
      <c r="G765" s="19">
        <v>66</v>
      </c>
      <c r="H765" t="s">
        <v>63</v>
      </c>
      <c r="I765">
        <v>2022</v>
      </c>
    </row>
    <row r="766" spans="1:9" x14ac:dyDescent="0.3">
      <c r="A766">
        <v>169556175</v>
      </c>
      <c r="B766" s="1">
        <v>44916</v>
      </c>
      <c r="C766" s="1">
        <v>44948</v>
      </c>
      <c r="D766" t="s">
        <v>7</v>
      </c>
      <c r="E766">
        <v>39</v>
      </c>
      <c r="F766" t="s">
        <v>6</v>
      </c>
      <c r="G766" s="19">
        <v>32</v>
      </c>
      <c r="H766" t="s">
        <v>63</v>
      </c>
      <c r="I766">
        <v>2022</v>
      </c>
    </row>
    <row r="767" spans="1:9" x14ac:dyDescent="0.3">
      <c r="A767">
        <v>153122282</v>
      </c>
      <c r="B767" s="1">
        <v>44916</v>
      </c>
      <c r="C767" s="1">
        <v>44916</v>
      </c>
      <c r="D767" t="s">
        <v>7</v>
      </c>
      <c r="E767">
        <v>39</v>
      </c>
      <c r="F767" t="s">
        <v>6</v>
      </c>
      <c r="G767" s="19">
        <v>0</v>
      </c>
      <c r="H767" t="s">
        <v>63</v>
      </c>
      <c r="I767">
        <v>2022</v>
      </c>
    </row>
    <row r="768" spans="1:9" x14ac:dyDescent="0.3">
      <c r="A768">
        <v>174576654</v>
      </c>
      <c r="B768" s="1">
        <v>44916</v>
      </c>
      <c r="C768" s="1">
        <v>45114</v>
      </c>
      <c r="D768" t="s">
        <v>7</v>
      </c>
      <c r="E768">
        <v>39</v>
      </c>
      <c r="F768" t="s">
        <v>6</v>
      </c>
      <c r="G768" s="19">
        <v>198</v>
      </c>
      <c r="H768" t="s">
        <v>63</v>
      </c>
      <c r="I768">
        <v>2022</v>
      </c>
    </row>
    <row r="769" spans="1:9" x14ac:dyDescent="0.3">
      <c r="A769">
        <v>154711077</v>
      </c>
      <c r="B769" s="1">
        <v>44917</v>
      </c>
      <c r="D769" t="s">
        <v>7</v>
      </c>
      <c r="E769">
        <v>39</v>
      </c>
      <c r="F769" t="s">
        <v>6</v>
      </c>
      <c r="H769" t="s">
        <v>64</v>
      </c>
      <c r="I769">
        <v>2022</v>
      </c>
    </row>
    <row r="770" spans="1:9" x14ac:dyDescent="0.3">
      <c r="A770">
        <v>163619032</v>
      </c>
      <c r="B770" s="1">
        <v>44917</v>
      </c>
      <c r="D770" t="s">
        <v>7</v>
      </c>
      <c r="E770">
        <v>39</v>
      </c>
      <c r="F770" t="s">
        <v>6</v>
      </c>
      <c r="H770" t="s">
        <v>64</v>
      </c>
      <c r="I770">
        <v>2022</v>
      </c>
    </row>
    <row r="771" spans="1:9" x14ac:dyDescent="0.3">
      <c r="A771">
        <v>171001864</v>
      </c>
      <c r="B771" s="1">
        <v>44917</v>
      </c>
      <c r="D771" t="s">
        <v>7</v>
      </c>
      <c r="E771">
        <v>39</v>
      </c>
      <c r="F771" t="s">
        <v>6</v>
      </c>
      <c r="H771" t="s">
        <v>64</v>
      </c>
      <c r="I771">
        <v>2022</v>
      </c>
    </row>
    <row r="772" spans="1:9" x14ac:dyDescent="0.3">
      <c r="A772">
        <v>151890014</v>
      </c>
      <c r="B772" s="1">
        <v>44917</v>
      </c>
      <c r="D772" t="s">
        <v>7</v>
      </c>
      <c r="E772">
        <v>39</v>
      </c>
      <c r="F772" t="s">
        <v>6</v>
      </c>
      <c r="H772" t="s">
        <v>64</v>
      </c>
      <c r="I772">
        <v>2022</v>
      </c>
    </row>
    <row r="773" spans="1:9" x14ac:dyDescent="0.3">
      <c r="A773">
        <v>158575772</v>
      </c>
      <c r="B773" s="1">
        <v>44917</v>
      </c>
      <c r="C773" s="1">
        <v>44918</v>
      </c>
      <c r="D773" t="s">
        <v>7</v>
      </c>
      <c r="E773">
        <v>39</v>
      </c>
      <c r="F773" t="s">
        <v>6</v>
      </c>
      <c r="G773" s="19">
        <v>1</v>
      </c>
      <c r="H773" t="s">
        <v>64</v>
      </c>
      <c r="I773">
        <v>2022</v>
      </c>
    </row>
    <row r="774" spans="1:9" x14ac:dyDescent="0.3">
      <c r="A774">
        <v>164462665</v>
      </c>
      <c r="B774" s="1">
        <v>44917</v>
      </c>
      <c r="C774" s="1">
        <v>44918</v>
      </c>
      <c r="D774" t="s">
        <v>8</v>
      </c>
      <c r="E774">
        <v>39</v>
      </c>
      <c r="F774" t="s">
        <v>6</v>
      </c>
      <c r="G774" s="19">
        <v>1</v>
      </c>
      <c r="H774" t="s">
        <v>64</v>
      </c>
      <c r="I774">
        <v>2022</v>
      </c>
    </row>
    <row r="775" spans="1:9" x14ac:dyDescent="0.3">
      <c r="A775">
        <v>121830768</v>
      </c>
      <c r="B775" s="1">
        <v>44917</v>
      </c>
      <c r="C775" s="1">
        <v>44950</v>
      </c>
      <c r="D775" t="s">
        <v>7</v>
      </c>
      <c r="E775">
        <v>39</v>
      </c>
      <c r="F775" t="s">
        <v>6</v>
      </c>
      <c r="G775" s="19">
        <v>33</v>
      </c>
      <c r="H775" t="s">
        <v>64</v>
      </c>
      <c r="I775">
        <v>2022</v>
      </c>
    </row>
    <row r="776" spans="1:9" x14ac:dyDescent="0.3">
      <c r="A776">
        <v>174605216</v>
      </c>
      <c r="B776" s="1">
        <v>44917</v>
      </c>
      <c r="C776" s="1">
        <v>45058</v>
      </c>
      <c r="D776" t="s">
        <v>7</v>
      </c>
      <c r="E776">
        <v>39</v>
      </c>
      <c r="F776" t="s">
        <v>6</v>
      </c>
      <c r="G776" s="19">
        <v>141</v>
      </c>
      <c r="H776" t="s">
        <v>64</v>
      </c>
      <c r="I776">
        <v>2022</v>
      </c>
    </row>
    <row r="777" spans="1:9" x14ac:dyDescent="0.3">
      <c r="A777">
        <v>174655316</v>
      </c>
      <c r="B777" s="1">
        <v>44917</v>
      </c>
      <c r="C777" s="1">
        <v>45000</v>
      </c>
      <c r="D777" t="s">
        <v>7</v>
      </c>
      <c r="E777">
        <v>39</v>
      </c>
      <c r="F777" t="s">
        <v>6</v>
      </c>
      <c r="G777" s="19">
        <v>83</v>
      </c>
      <c r="H777" t="s">
        <v>64</v>
      </c>
      <c r="I777">
        <v>2022</v>
      </c>
    </row>
    <row r="778" spans="1:9" x14ac:dyDescent="0.3">
      <c r="A778">
        <v>174622570</v>
      </c>
      <c r="B778" s="1">
        <v>44917</v>
      </c>
      <c r="C778" s="1">
        <v>44927</v>
      </c>
      <c r="D778" t="s">
        <v>7</v>
      </c>
      <c r="E778">
        <v>39</v>
      </c>
      <c r="F778" t="s">
        <v>6</v>
      </c>
      <c r="G778" s="19">
        <v>10</v>
      </c>
      <c r="H778" t="s">
        <v>64</v>
      </c>
      <c r="I778">
        <v>2022</v>
      </c>
    </row>
    <row r="779" spans="1:9" x14ac:dyDescent="0.3">
      <c r="A779">
        <v>174720005</v>
      </c>
      <c r="B779" s="1">
        <v>44917</v>
      </c>
      <c r="C779" s="1">
        <v>44918</v>
      </c>
      <c r="D779" t="s">
        <v>7</v>
      </c>
      <c r="E779">
        <v>39</v>
      </c>
      <c r="F779" t="s">
        <v>6</v>
      </c>
      <c r="G779" s="19">
        <v>1</v>
      </c>
      <c r="H779" t="s">
        <v>64</v>
      </c>
      <c r="I779">
        <v>2022</v>
      </c>
    </row>
    <row r="780" spans="1:9" x14ac:dyDescent="0.3">
      <c r="A780">
        <v>174696512</v>
      </c>
      <c r="B780" s="1">
        <v>44918</v>
      </c>
      <c r="D780" t="s">
        <v>7</v>
      </c>
      <c r="E780">
        <v>39</v>
      </c>
      <c r="F780" t="s">
        <v>6</v>
      </c>
      <c r="H780" t="s">
        <v>65</v>
      </c>
      <c r="I780">
        <v>2022</v>
      </c>
    </row>
    <row r="781" spans="1:9" x14ac:dyDescent="0.3">
      <c r="A781">
        <v>175314293</v>
      </c>
      <c r="B781" s="1">
        <v>44918</v>
      </c>
      <c r="D781" t="s">
        <v>7</v>
      </c>
      <c r="E781">
        <v>39</v>
      </c>
      <c r="F781" t="s">
        <v>6</v>
      </c>
      <c r="H781" t="s">
        <v>65</v>
      </c>
      <c r="I781">
        <v>2022</v>
      </c>
    </row>
    <row r="782" spans="1:9" x14ac:dyDescent="0.3">
      <c r="A782">
        <v>175451863</v>
      </c>
      <c r="B782" s="1">
        <v>44918</v>
      </c>
      <c r="C782" s="1">
        <v>45005</v>
      </c>
      <c r="D782" t="s">
        <v>7</v>
      </c>
      <c r="E782">
        <v>39</v>
      </c>
      <c r="F782" t="s">
        <v>6</v>
      </c>
      <c r="G782" s="19">
        <v>87</v>
      </c>
      <c r="H782" t="s">
        <v>65</v>
      </c>
      <c r="I782">
        <v>2022</v>
      </c>
    </row>
    <row r="783" spans="1:9" x14ac:dyDescent="0.3">
      <c r="A783">
        <v>174752844</v>
      </c>
      <c r="B783" s="1">
        <v>44918</v>
      </c>
      <c r="C783" s="1">
        <v>44956</v>
      </c>
      <c r="D783" t="s">
        <v>7</v>
      </c>
      <c r="E783">
        <v>39</v>
      </c>
      <c r="F783" t="s">
        <v>6</v>
      </c>
      <c r="G783" s="19">
        <v>38</v>
      </c>
      <c r="H783" t="s">
        <v>65</v>
      </c>
      <c r="I783">
        <v>2022</v>
      </c>
    </row>
    <row r="784" spans="1:9" x14ac:dyDescent="0.3">
      <c r="A784">
        <v>175431141</v>
      </c>
      <c r="B784" s="1">
        <v>44919</v>
      </c>
      <c r="D784" t="s">
        <v>7</v>
      </c>
      <c r="E784">
        <v>39</v>
      </c>
      <c r="F784" t="s">
        <v>6</v>
      </c>
      <c r="H784" t="s">
        <v>66</v>
      </c>
      <c r="I784">
        <v>2022</v>
      </c>
    </row>
    <row r="785" spans="1:9" x14ac:dyDescent="0.3">
      <c r="A785">
        <v>132228678</v>
      </c>
      <c r="B785" s="1">
        <v>44919</v>
      </c>
      <c r="C785" s="1">
        <v>44919</v>
      </c>
      <c r="D785" t="s">
        <v>7</v>
      </c>
      <c r="E785">
        <v>39</v>
      </c>
      <c r="F785" t="s">
        <v>6</v>
      </c>
      <c r="G785" s="19">
        <v>0</v>
      </c>
      <c r="H785" t="s">
        <v>66</v>
      </c>
      <c r="I785">
        <v>2022</v>
      </c>
    </row>
    <row r="786" spans="1:9" x14ac:dyDescent="0.3">
      <c r="A786">
        <v>161151062</v>
      </c>
      <c r="B786" s="1">
        <v>44919</v>
      </c>
      <c r="C786" s="1">
        <v>45035</v>
      </c>
      <c r="D786" t="s">
        <v>7</v>
      </c>
      <c r="E786">
        <v>39</v>
      </c>
      <c r="F786" t="s">
        <v>6</v>
      </c>
      <c r="G786" s="19">
        <v>116</v>
      </c>
      <c r="H786" t="s">
        <v>66</v>
      </c>
      <c r="I786">
        <v>2022</v>
      </c>
    </row>
    <row r="787" spans="1:9" x14ac:dyDescent="0.3">
      <c r="A787">
        <v>167653319</v>
      </c>
      <c r="B787" s="1">
        <v>44919</v>
      </c>
      <c r="C787" s="1">
        <v>44998</v>
      </c>
      <c r="D787" t="s">
        <v>7</v>
      </c>
      <c r="E787">
        <v>39</v>
      </c>
      <c r="F787" t="s">
        <v>6</v>
      </c>
      <c r="G787" s="19">
        <v>79</v>
      </c>
      <c r="H787" t="s">
        <v>66</v>
      </c>
      <c r="I787">
        <v>2022</v>
      </c>
    </row>
    <row r="788" spans="1:9" x14ac:dyDescent="0.3">
      <c r="A788">
        <v>171659515</v>
      </c>
      <c r="B788" s="1">
        <v>44919</v>
      </c>
      <c r="C788" s="1">
        <v>44949</v>
      </c>
      <c r="D788" t="s">
        <v>7</v>
      </c>
      <c r="E788">
        <v>39</v>
      </c>
      <c r="F788" t="s">
        <v>6</v>
      </c>
      <c r="G788" s="19">
        <v>30</v>
      </c>
      <c r="H788" t="s">
        <v>66</v>
      </c>
      <c r="I788">
        <v>2022</v>
      </c>
    </row>
    <row r="789" spans="1:9" x14ac:dyDescent="0.3">
      <c r="A789">
        <v>175720159</v>
      </c>
      <c r="B789" s="1">
        <v>44919</v>
      </c>
      <c r="C789" s="1">
        <v>44935</v>
      </c>
      <c r="D789" t="s">
        <v>7</v>
      </c>
      <c r="E789">
        <v>39</v>
      </c>
      <c r="F789" t="s">
        <v>6</v>
      </c>
      <c r="G789" s="19">
        <v>16</v>
      </c>
      <c r="H789" t="s">
        <v>66</v>
      </c>
      <c r="I789">
        <v>2022</v>
      </c>
    </row>
    <row r="790" spans="1:9" x14ac:dyDescent="0.3">
      <c r="A790">
        <v>170593141</v>
      </c>
      <c r="B790" s="1">
        <v>44919</v>
      </c>
      <c r="C790" s="1">
        <v>44934</v>
      </c>
      <c r="D790" t="s">
        <v>7</v>
      </c>
      <c r="E790">
        <v>39</v>
      </c>
      <c r="F790" t="s">
        <v>6</v>
      </c>
      <c r="G790" s="19">
        <v>15</v>
      </c>
      <c r="H790" t="s">
        <v>66</v>
      </c>
      <c r="I790">
        <v>2022</v>
      </c>
    </row>
    <row r="791" spans="1:9" x14ac:dyDescent="0.3">
      <c r="A791">
        <v>173981170</v>
      </c>
      <c r="B791" s="1">
        <v>44919</v>
      </c>
      <c r="C791" s="1">
        <v>44920</v>
      </c>
      <c r="D791" t="s">
        <v>7</v>
      </c>
      <c r="E791">
        <v>39</v>
      </c>
      <c r="F791" t="s">
        <v>6</v>
      </c>
      <c r="G791" s="19">
        <v>1</v>
      </c>
      <c r="H791" t="s">
        <v>66</v>
      </c>
      <c r="I791">
        <v>2022</v>
      </c>
    </row>
    <row r="792" spans="1:9" x14ac:dyDescent="0.3">
      <c r="A792">
        <v>175166391</v>
      </c>
      <c r="B792" s="1">
        <v>44920</v>
      </c>
      <c r="D792" t="s">
        <v>7</v>
      </c>
      <c r="E792">
        <v>39</v>
      </c>
      <c r="F792" t="s">
        <v>6</v>
      </c>
      <c r="H792" t="s">
        <v>60</v>
      </c>
      <c r="I792">
        <v>2022</v>
      </c>
    </row>
    <row r="793" spans="1:9" x14ac:dyDescent="0.3">
      <c r="A793">
        <v>161175048</v>
      </c>
      <c r="B793" s="1">
        <v>44920</v>
      </c>
      <c r="C793" s="1">
        <v>44979</v>
      </c>
      <c r="D793" t="s">
        <v>7</v>
      </c>
      <c r="E793">
        <v>39</v>
      </c>
      <c r="F793" t="s">
        <v>6</v>
      </c>
      <c r="G793" s="19">
        <v>59</v>
      </c>
      <c r="H793" t="s">
        <v>60</v>
      </c>
      <c r="I793">
        <v>2022</v>
      </c>
    </row>
    <row r="794" spans="1:9" x14ac:dyDescent="0.3">
      <c r="A794">
        <v>164254865</v>
      </c>
      <c r="B794" s="1">
        <v>44920</v>
      </c>
      <c r="C794" s="1">
        <v>44950</v>
      </c>
      <c r="D794" t="s">
        <v>7</v>
      </c>
      <c r="E794">
        <v>39</v>
      </c>
      <c r="F794" t="s">
        <v>6</v>
      </c>
      <c r="G794" s="19">
        <v>30</v>
      </c>
      <c r="H794" t="s">
        <v>60</v>
      </c>
      <c r="I794">
        <v>2022</v>
      </c>
    </row>
    <row r="795" spans="1:9" x14ac:dyDescent="0.3">
      <c r="A795">
        <v>143248615</v>
      </c>
      <c r="B795" s="1">
        <v>44921</v>
      </c>
      <c r="D795" t="s">
        <v>7</v>
      </c>
      <c r="E795">
        <v>39</v>
      </c>
      <c r="F795" t="s">
        <v>6</v>
      </c>
      <c r="H795" t="s">
        <v>61</v>
      </c>
      <c r="I795">
        <v>2022</v>
      </c>
    </row>
    <row r="796" spans="1:9" x14ac:dyDescent="0.3">
      <c r="A796">
        <v>176032070</v>
      </c>
      <c r="B796" s="1">
        <v>44921</v>
      </c>
      <c r="C796" s="1">
        <v>44940</v>
      </c>
      <c r="D796" t="s">
        <v>7</v>
      </c>
      <c r="E796">
        <v>39</v>
      </c>
      <c r="F796" t="s">
        <v>6</v>
      </c>
      <c r="G796" s="19">
        <v>19</v>
      </c>
      <c r="H796" t="s">
        <v>61</v>
      </c>
      <c r="I796">
        <v>2022</v>
      </c>
    </row>
    <row r="797" spans="1:9" x14ac:dyDescent="0.3">
      <c r="A797">
        <v>174132333</v>
      </c>
      <c r="B797" s="1">
        <v>44922</v>
      </c>
      <c r="D797" t="s">
        <v>7</v>
      </c>
      <c r="E797">
        <v>39</v>
      </c>
      <c r="F797" t="s">
        <v>6</v>
      </c>
      <c r="H797" t="s">
        <v>62</v>
      </c>
      <c r="I797">
        <v>2022</v>
      </c>
    </row>
    <row r="798" spans="1:9" x14ac:dyDescent="0.3">
      <c r="A798">
        <v>177051147</v>
      </c>
      <c r="B798" s="1">
        <v>44922</v>
      </c>
      <c r="C798" s="1">
        <v>44923</v>
      </c>
      <c r="D798" t="s">
        <v>7</v>
      </c>
      <c r="E798">
        <v>39</v>
      </c>
      <c r="F798" t="s">
        <v>6</v>
      </c>
      <c r="G798" s="19">
        <v>1</v>
      </c>
      <c r="H798" t="s">
        <v>62</v>
      </c>
      <c r="I798">
        <v>2022</v>
      </c>
    </row>
    <row r="799" spans="1:9" x14ac:dyDescent="0.3">
      <c r="A799">
        <v>176571319</v>
      </c>
      <c r="B799" s="1">
        <v>44922</v>
      </c>
      <c r="C799" s="1">
        <v>45017</v>
      </c>
      <c r="D799" t="s">
        <v>7</v>
      </c>
      <c r="E799">
        <v>39</v>
      </c>
      <c r="F799" t="s">
        <v>6</v>
      </c>
      <c r="G799" s="19">
        <v>95</v>
      </c>
      <c r="H799" t="s">
        <v>62</v>
      </c>
      <c r="I799">
        <v>2022</v>
      </c>
    </row>
    <row r="800" spans="1:9" x14ac:dyDescent="0.3">
      <c r="A800">
        <v>166932902</v>
      </c>
      <c r="B800" s="1">
        <v>44922</v>
      </c>
      <c r="C800" s="1">
        <v>44991</v>
      </c>
      <c r="D800" t="s">
        <v>7</v>
      </c>
      <c r="E800">
        <v>39</v>
      </c>
      <c r="F800" t="s">
        <v>6</v>
      </c>
      <c r="G800" s="19">
        <v>69</v>
      </c>
      <c r="H800" t="s">
        <v>62</v>
      </c>
      <c r="I800">
        <v>2022</v>
      </c>
    </row>
    <row r="801" spans="1:9" x14ac:dyDescent="0.3">
      <c r="A801">
        <v>175851244</v>
      </c>
      <c r="B801" s="1">
        <v>44922</v>
      </c>
      <c r="C801" s="1">
        <v>44960</v>
      </c>
      <c r="D801" t="s">
        <v>7</v>
      </c>
      <c r="E801">
        <v>39</v>
      </c>
      <c r="F801" t="s">
        <v>6</v>
      </c>
      <c r="G801" s="19">
        <v>38</v>
      </c>
      <c r="H801" t="s">
        <v>62</v>
      </c>
      <c r="I801">
        <v>2022</v>
      </c>
    </row>
    <row r="802" spans="1:9" x14ac:dyDescent="0.3">
      <c r="A802">
        <v>155613371</v>
      </c>
      <c r="B802" s="1">
        <v>44922</v>
      </c>
      <c r="C802" s="1">
        <v>44960</v>
      </c>
      <c r="D802" t="s">
        <v>7</v>
      </c>
      <c r="E802">
        <v>39</v>
      </c>
      <c r="F802" t="s">
        <v>6</v>
      </c>
      <c r="G802" s="19">
        <v>38</v>
      </c>
      <c r="H802" t="s">
        <v>62</v>
      </c>
      <c r="I802">
        <v>2022</v>
      </c>
    </row>
    <row r="803" spans="1:9" x14ac:dyDescent="0.3">
      <c r="A803">
        <v>167678290</v>
      </c>
      <c r="B803" s="1">
        <v>44922</v>
      </c>
      <c r="C803" s="1">
        <v>44953</v>
      </c>
      <c r="D803" t="s">
        <v>7</v>
      </c>
      <c r="E803">
        <v>39</v>
      </c>
      <c r="F803" t="s">
        <v>6</v>
      </c>
      <c r="G803" s="19">
        <v>31</v>
      </c>
      <c r="H803" t="s">
        <v>62</v>
      </c>
      <c r="I803">
        <v>2022</v>
      </c>
    </row>
    <row r="804" spans="1:9" x14ac:dyDescent="0.3">
      <c r="A804">
        <v>176995917</v>
      </c>
      <c r="B804" s="1">
        <v>44922</v>
      </c>
      <c r="C804" s="1">
        <v>45106</v>
      </c>
      <c r="D804" t="s">
        <v>7</v>
      </c>
      <c r="E804">
        <v>39</v>
      </c>
      <c r="F804" t="s">
        <v>6</v>
      </c>
      <c r="G804" s="19">
        <v>184</v>
      </c>
      <c r="H804" t="s">
        <v>62</v>
      </c>
      <c r="I804">
        <v>2022</v>
      </c>
    </row>
    <row r="805" spans="1:9" x14ac:dyDescent="0.3">
      <c r="A805">
        <v>161187523</v>
      </c>
      <c r="B805" s="1">
        <v>44922</v>
      </c>
      <c r="C805" s="1">
        <v>45126</v>
      </c>
      <c r="D805" t="s">
        <v>7</v>
      </c>
      <c r="E805">
        <v>39</v>
      </c>
      <c r="F805" t="s">
        <v>6</v>
      </c>
      <c r="G805" s="19">
        <v>204</v>
      </c>
      <c r="H805" t="s">
        <v>62</v>
      </c>
      <c r="I805">
        <v>2022</v>
      </c>
    </row>
    <row r="806" spans="1:9" x14ac:dyDescent="0.3">
      <c r="A806">
        <v>175884318</v>
      </c>
      <c r="B806" s="1">
        <v>44923</v>
      </c>
      <c r="C806" s="1">
        <v>44940</v>
      </c>
      <c r="D806" t="s">
        <v>7</v>
      </c>
      <c r="E806">
        <v>39</v>
      </c>
      <c r="F806" t="s">
        <v>6</v>
      </c>
      <c r="G806" s="19">
        <v>17</v>
      </c>
      <c r="H806" t="s">
        <v>63</v>
      </c>
      <c r="I806">
        <v>2022</v>
      </c>
    </row>
    <row r="807" spans="1:9" x14ac:dyDescent="0.3">
      <c r="A807">
        <v>173911972</v>
      </c>
      <c r="B807" s="1">
        <v>44923</v>
      </c>
      <c r="C807" s="1">
        <v>45040</v>
      </c>
      <c r="D807" t="s">
        <v>7</v>
      </c>
      <c r="E807">
        <v>39</v>
      </c>
      <c r="F807" t="s">
        <v>6</v>
      </c>
      <c r="G807" s="19">
        <v>117</v>
      </c>
      <c r="H807" t="s">
        <v>63</v>
      </c>
      <c r="I807">
        <v>2022</v>
      </c>
    </row>
    <row r="808" spans="1:9" x14ac:dyDescent="0.3">
      <c r="A808">
        <v>177696301</v>
      </c>
      <c r="B808" s="1">
        <v>44923</v>
      </c>
      <c r="C808" s="1">
        <v>45073</v>
      </c>
      <c r="D808" t="s">
        <v>7</v>
      </c>
      <c r="E808">
        <v>39</v>
      </c>
      <c r="F808" t="s">
        <v>6</v>
      </c>
      <c r="G808" s="19">
        <v>150</v>
      </c>
      <c r="H808" t="s">
        <v>63</v>
      </c>
      <c r="I808">
        <v>2022</v>
      </c>
    </row>
    <row r="809" spans="1:9" x14ac:dyDescent="0.3">
      <c r="A809">
        <v>165744582</v>
      </c>
      <c r="B809" s="1">
        <v>44923</v>
      </c>
      <c r="C809" s="1">
        <v>44969</v>
      </c>
      <c r="D809" t="s">
        <v>7</v>
      </c>
      <c r="E809">
        <v>39</v>
      </c>
      <c r="F809" t="s">
        <v>6</v>
      </c>
      <c r="G809" s="19">
        <v>46</v>
      </c>
      <c r="H809" t="s">
        <v>63</v>
      </c>
      <c r="I809">
        <v>2022</v>
      </c>
    </row>
    <row r="810" spans="1:9" x14ac:dyDescent="0.3">
      <c r="A810">
        <v>177323966</v>
      </c>
      <c r="B810" s="1">
        <v>44923</v>
      </c>
      <c r="C810" s="1">
        <v>44923</v>
      </c>
      <c r="D810" t="s">
        <v>7</v>
      </c>
      <c r="E810">
        <v>39</v>
      </c>
      <c r="F810" t="s">
        <v>6</v>
      </c>
      <c r="G810" s="19">
        <v>0</v>
      </c>
      <c r="H810" t="s">
        <v>63</v>
      </c>
      <c r="I810">
        <v>2022</v>
      </c>
    </row>
    <row r="811" spans="1:9" x14ac:dyDescent="0.3">
      <c r="A811">
        <v>178355844</v>
      </c>
      <c r="B811" s="1">
        <v>44924</v>
      </c>
      <c r="D811" t="s">
        <v>7</v>
      </c>
      <c r="E811">
        <v>39</v>
      </c>
      <c r="F811" t="s">
        <v>6</v>
      </c>
      <c r="H811" t="s">
        <v>64</v>
      </c>
      <c r="I811">
        <v>2022</v>
      </c>
    </row>
    <row r="812" spans="1:9" x14ac:dyDescent="0.3">
      <c r="A812">
        <v>176989743</v>
      </c>
      <c r="B812" s="1">
        <v>44924</v>
      </c>
      <c r="D812" t="s">
        <v>7</v>
      </c>
      <c r="E812">
        <v>39</v>
      </c>
      <c r="F812" t="s">
        <v>6</v>
      </c>
      <c r="H812" t="s">
        <v>64</v>
      </c>
      <c r="I812">
        <v>2022</v>
      </c>
    </row>
    <row r="813" spans="1:9" x14ac:dyDescent="0.3">
      <c r="A813">
        <v>177971827</v>
      </c>
      <c r="B813" s="1">
        <v>44924</v>
      </c>
      <c r="D813" t="s">
        <v>7</v>
      </c>
      <c r="E813">
        <v>39</v>
      </c>
      <c r="F813" t="s">
        <v>6</v>
      </c>
      <c r="H813" t="s">
        <v>64</v>
      </c>
      <c r="I813">
        <v>2022</v>
      </c>
    </row>
    <row r="814" spans="1:9" x14ac:dyDescent="0.3">
      <c r="A814">
        <v>131147038</v>
      </c>
      <c r="B814" s="1">
        <v>44924</v>
      </c>
      <c r="C814" s="1">
        <v>44970</v>
      </c>
      <c r="D814" t="s">
        <v>7</v>
      </c>
      <c r="E814">
        <v>39</v>
      </c>
      <c r="F814" t="s">
        <v>6</v>
      </c>
      <c r="G814" s="19">
        <v>46</v>
      </c>
      <c r="H814" t="s">
        <v>64</v>
      </c>
      <c r="I814">
        <v>2022</v>
      </c>
    </row>
    <row r="815" spans="1:9" x14ac:dyDescent="0.3">
      <c r="A815">
        <v>152142457</v>
      </c>
      <c r="B815" s="1">
        <v>44924</v>
      </c>
      <c r="C815" s="1">
        <v>44969</v>
      </c>
      <c r="D815" t="s">
        <v>7</v>
      </c>
      <c r="E815">
        <v>39</v>
      </c>
      <c r="F815" t="s">
        <v>6</v>
      </c>
      <c r="G815" s="19">
        <v>45</v>
      </c>
      <c r="H815" t="s">
        <v>64</v>
      </c>
      <c r="I815">
        <v>2022</v>
      </c>
    </row>
    <row r="816" spans="1:9" x14ac:dyDescent="0.3">
      <c r="A816">
        <v>174293226</v>
      </c>
      <c r="B816" s="1">
        <v>44924</v>
      </c>
      <c r="C816" s="1">
        <v>45083</v>
      </c>
      <c r="D816" t="s">
        <v>7</v>
      </c>
      <c r="E816">
        <v>39</v>
      </c>
      <c r="F816" t="s">
        <v>6</v>
      </c>
      <c r="G816" s="19">
        <v>159</v>
      </c>
      <c r="H816" t="s">
        <v>64</v>
      </c>
      <c r="I816">
        <v>2022</v>
      </c>
    </row>
    <row r="817" spans="1:9" x14ac:dyDescent="0.3">
      <c r="A817">
        <v>177051147</v>
      </c>
      <c r="B817" s="1">
        <v>44924</v>
      </c>
      <c r="C817" s="1">
        <v>45012</v>
      </c>
      <c r="D817" t="s">
        <v>7</v>
      </c>
      <c r="E817">
        <v>39</v>
      </c>
      <c r="F817" t="s">
        <v>6</v>
      </c>
      <c r="G817" s="19">
        <v>88</v>
      </c>
      <c r="H817" t="s">
        <v>64</v>
      </c>
      <c r="I817">
        <v>2022</v>
      </c>
    </row>
    <row r="818" spans="1:9" x14ac:dyDescent="0.3">
      <c r="A818">
        <v>177963240</v>
      </c>
      <c r="B818" s="1">
        <v>44924</v>
      </c>
      <c r="C818" s="1">
        <v>44953</v>
      </c>
      <c r="D818" t="s">
        <v>7</v>
      </c>
      <c r="E818">
        <v>39</v>
      </c>
      <c r="F818" t="s">
        <v>6</v>
      </c>
      <c r="G818" s="19">
        <v>29</v>
      </c>
      <c r="H818" t="s">
        <v>64</v>
      </c>
      <c r="I818">
        <v>2022</v>
      </c>
    </row>
    <row r="819" spans="1:9" x14ac:dyDescent="0.3">
      <c r="A819">
        <v>176639972</v>
      </c>
      <c r="B819" s="1">
        <v>44924</v>
      </c>
      <c r="C819" s="1">
        <v>44954</v>
      </c>
      <c r="D819" t="s">
        <v>7</v>
      </c>
      <c r="E819">
        <v>39</v>
      </c>
      <c r="F819" t="s">
        <v>6</v>
      </c>
      <c r="G819" s="19">
        <v>30</v>
      </c>
      <c r="H819" t="s">
        <v>64</v>
      </c>
      <c r="I819">
        <v>2022</v>
      </c>
    </row>
    <row r="820" spans="1:9" x14ac:dyDescent="0.3">
      <c r="A820">
        <v>175818000</v>
      </c>
      <c r="B820" s="1">
        <v>44925</v>
      </c>
      <c r="C820" s="1">
        <v>45086</v>
      </c>
      <c r="D820" t="s">
        <v>7</v>
      </c>
      <c r="E820">
        <v>39</v>
      </c>
      <c r="F820" t="s">
        <v>6</v>
      </c>
      <c r="G820" s="19">
        <v>161</v>
      </c>
      <c r="H820" t="s">
        <v>65</v>
      </c>
      <c r="I820">
        <v>2022</v>
      </c>
    </row>
    <row r="821" spans="1:9" x14ac:dyDescent="0.3">
      <c r="A821">
        <v>117856836</v>
      </c>
      <c r="B821" s="1">
        <v>44925</v>
      </c>
      <c r="C821" s="1">
        <v>44959</v>
      </c>
      <c r="D821" t="s">
        <v>7</v>
      </c>
      <c r="E821">
        <v>39</v>
      </c>
      <c r="F821" t="s">
        <v>6</v>
      </c>
      <c r="G821" s="19">
        <v>34</v>
      </c>
      <c r="H821" t="s">
        <v>65</v>
      </c>
      <c r="I821">
        <v>2022</v>
      </c>
    </row>
    <row r="822" spans="1:9" x14ac:dyDescent="0.3">
      <c r="A822">
        <v>177266058</v>
      </c>
      <c r="B822" s="1">
        <v>44925</v>
      </c>
      <c r="C822" s="1">
        <v>45022</v>
      </c>
      <c r="D822" t="s">
        <v>7</v>
      </c>
      <c r="E822">
        <v>39</v>
      </c>
      <c r="F822" t="s">
        <v>6</v>
      </c>
      <c r="G822" s="19">
        <v>97</v>
      </c>
      <c r="H822" t="s">
        <v>65</v>
      </c>
      <c r="I822">
        <v>2022</v>
      </c>
    </row>
    <row r="823" spans="1:9" x14ac:dyDescent="0.3">
      <c r="A823">
        <v>174203866</v>
      </c>
      <c r="B823" s="1">
        <v>44925</v>
      </c>
      <c r="C823" s="1">
        <v>44985</v>
      </c>
      <c r="D823" t="s">
        <v>7</v>
      </c>
      <c r="E823">
        <v>39</v>
      </c>
      <c r="F823" t="s">
        <v>6</v>
      </c>
      <c r="G823" s="19">
        <v>60</v>
      </c>
      <c r="H823" t="s">
        <v>65</v>
      </c>
      <c r="I823">
        <v>2022</v>
      </c>
    </row>
    <row r="824" spans="1:9" x14ac:dyDescent="0.3">
      <c r="A824">
        <v>174991614</v>
      </c>
      <c r="B824" s="1">
        <v>44925</v>
      </c>
      <c r="C824" s="1">
        <v>44956</v>
      </c>
      <c r="D824" t="s">
        <v>7</v>
      </c>
      <c r="E824">
        <v>39</v>
      </c>
      <c r="F824" t="s">
        <v>6</v>
      </c>
      <c r="G824" s="19">
        <v>31</v>
      </c>
      <c r="H824" t="s">
        <v>65</v>
      </c>
      <c r="I824">
        <v>2022</v>
      </c>
    </row>
    <row r="825" spans="1:9" x14ac:dyDescent="0.3">
      <c r="A825">
        <v>175354348</v>
      </c>
      <c r="B825" s="1">
        <v>44925</v>
      </c>
      <c r="C825" s="1">
        <v>44947</v>
      </c>
      <c r="D825" t="s">
        <v>7</v>
      </c>
      <c r="E825">
        <v>39</v>
      </c>
      <c r="F825" t="s">
        <v>6</v>
      </c>
      <c r="G825" s="19">
        <v>22</v>
      </c>
      <c r="H825" t="s">
        <v>65</v>
      </c>
      <c r="I825">
        <v>2022</v>
      </c>
    </row>
    <row r="826" spans="1:9" x14ac:dyDescent="0.3">
      <c r="A826">
        <v>176573512</v>
      </c>
      <c r="B826" s="1">
        <v>44925</v>
      </c>
      <c r="C826" s="1">
        <v>45110</v>
      </c>
      <c r="D826" t="s">
        <v>7</v>
      </c>
      <c r="E826">
        <v>39</v>
      </c>
      <c r="F826" t="s">
        <v>6</v>
      </c>
      <c r="G826" s="19">
        <v>185</v>
      </c>
      <c r="H826" t="s">
        <v>65</v>
      </c>
      <c r="I826">
        <v>2022</v>
      </c>
    </row>
    <row r="827" spans="1:9" x14ac:dyDescent="0.3">
      <c r="A827">
        <v>178379352</v>
      </c>
      <c r="B827" s="1">
        <v>44926</v>
      </c>
      <c r="C827" s="1">
        <v>44928</v>
      </c>
      <c r="D827" t="s">
        <v>7</v>
      </c>
      <c r="E827">
        <v>39</v>
      </c>
      <c r="F827" t="s">
        <v>6</v>
      </c>
      <c r="G827" s="19">
        <v>2</v>
      </c>
      <c r="H827" t="s">
        <v>66</v>
      </c>
      <c r="I827">
        <v>2022</v>
      </c>
    </row>
    <row r="828" spans="1:9" x14ac:dyDescent="0.3">
      <c r="A828">
        <v>152980676</v>
      </c>
      <c r="B828" s="1">
        <v>44926</v>
      </c>
      <c r="C828" s="1">
        <v>44947</v>
      </c>
      <c r="D828" t="s">
        <v>7</v>
      </c>
      <c r="E828">
        <v>39</v>
      </c>
      <c r="F828" t="s">
        <v>6</v>
      </c>
      <c r="G828" s="19">
        <v>21</v>
      </c>
      <c r="H828" t="s">
        <v>66</v>
      </c>
      <c r="I828">
        <v>2022</v>
      </c>
    </row>
    <row r="829" spans="1:9" x14ac:dyDescent="0.3">
      <c r="A829">
        <v>179551652</v>
      </c>
      <c r="B829" s="1">
        <v>44926</v>
      </c>
      <c r="C829" s="1">
        <v>45053</v>
      </c>
      <c r="D829" t="s">
        <v>7</v>
      </c>
      <c r="E829">
        <v>39</v>
      </c>
      <c r="F829" t="s">
        <v>6</v>
      </c>
      <c r="G829" s="19">
        <v>127</v>
      </c>
      <c r="H829" t="s">
        <v>66</v>
      </c>
      <c r="I829">
        <v>2022</v>
      </c>
    </row>
    <row r="830" spans="1:9" x14ac:dyDescent="0.3">
      <c r="A830">
        <v>175899028</v>
      </c>
      <c r="B830" s="1">
        <v>44926</v>
      </c>
      <c r="C830" s="1">
        <v>45009</v>
      </c>
      <c r="D830" t="s">
        <v>7</v>
      </c>
      <c r="E830">
        <v>39</v>
      </c>
      <c r="F830" t="s">
        <v>6</v>
      </c>
      <c r="G830" s="19">
        <v>83</v>
      </c>
      <c r="H830" t="s">
        <v>66</v>
      </c>
      <c r="I830">
        <v>2022</v>
      </c>
    </row>
    <row r="831" spans="1:9" x14ac:dyDescent="0.3">
      <c r="A831">
        <v>148427368</v>
      </c>
      <c r="B831" s="1">
        <v>44926</v>
      </c>
      <c r="C831" s="1">
        <v>44964</v>
      </c>
      <c r="D831" t="s">
        <v>7</v>
      </c>
      <c r="E831">
        <v>39</v>
      </c>
      <c r="F831" t="s">
        <v>6</v>
      </c>
      <c r="G831" s="19">
        <v>38</v>
      </c>
      <c r="H831" t="s">
        <v>66</v>
      </c>
      <c r="I831">
        <v>2022</v>
      </c>
    </row>
    <row r="832" spans="1:9" x14ac:dyDescent="0.3">
      <c r="A832">
        <v>149335749</v>
      </c>
      <c r="B832" s="1">
        <v>44926</v>
      </c>
      <c r="C832" s="1">
        <v>44956</v>
      </c>
      <c r="D832" t="s">
        <v>7</v>
      </c>
      <c r="E832">
        <v>39</v>
      </c>
      <c r="F832" t="s">
        <v>6</v>
      </c>
      <c r="G832" s="19">
        <v>30</v>
      </c>
      <c r="H832" t="s">
        <v>66</v>
      </c>
      <c r="I832">
        <v>2022</v>
      </c>
    </row>
    <row r="833" spans="1:9" x14ac:dyDescent="0.3">
      <c r="A833">
        <v>179395204</v>
      </c>
      <c r="B833" s="1">
        <v>44926</v>
      </c>
      <c r="C833" s="1">
        <v>44942</v>
      </c>
      <c r="D833" t="s">
        <v>7</v>
      </c>
      <c r="E833">
        <v>39</v>
      </c>
      <c r="F833" t="s">
        <v>6</v>
      </c>
      <c r="G833" s="19">
        <v>16</v>
      </c>
      <c r="H833" t="s">
        <v>66</v>
      </c>
      <c r="I833">
        <v>2022</v>
      </c>
    </row>
    <row r="834" spans="1:9" x14ac:dyDescent="0.3">
      <c r="A834">
        <v>150870576</v>
      </c>
      <c r="B834" s="1">
        <v>44927</v>
      </c>
      <c r="C834" s="1">
        <v>45092</v>
      </c>
      <c r="D834" t="s">
        <v>7</v>
      </c>
      <c r="E834">
        <v>39</v>
      </c>
      <c r="F834" t="s">
        <v>6</v>
      </c>
      <c r="G834" s="19">
        <v>165</v>
      </c>
      <c r="H834" t="s">
        <v>60</v>
      </c>
      <c r="I834">
        <v>2023</v>
      </c>
    </row>
    <row r="835" spans="1:9" x14ac:dyDescent="0.3">
      <c r="A835">
        <v>176200716</v>
      </c>
      <c r="B835" s="1">
        <v>44927</v>
      </c>
      <c r="C835" s="1">
        <v>45040</v>
      </c>
      <c r="D835" t="s">
        <v>7</v>
      </c>
      <c r="E835">
        <v>39</v>
      </c>
      <c r="F835" t="s">
        <v>6</v>
      </c>
      <c r="G835" s="19">
        <v>113</v>
      </c>
      <c r="H835" t="s">
        <v>60</v>
      </c>
      <c r="I835">
        <v>2023</v>
      </c>
    </row>
    <row r="836" spans="1:9" x14ac:dyDescent="0.3">
      <c r="A836">
        <v>178097351</v>
      </c>
      <c r="B836" s="1">
        <v>44927</v>
      </c>
      <c r="C836" s="1">
        <v>44965</v>
      </c>
      <c r="D836" t="s">
        <v>7</v>
      </c>
      <c r="E836">
        <v>39</v>
      </c>
      <c r="F836" t="s">
        <v>6</v>
      </c>
      <c r="G836" s="19">
        <v>38</v>
      </c>
      <c r="H836" t="s">
        <v>60</v>
      </c>
      <c r="I836">
        <v>2023</v>
      </c>
    </row>
    <row r="837" spans="1:9" x14ac:dyDescent="0.3">
      <c r="A837">
        <v>177238262</v>
      </c>
      <c r="B837" s="1">
        <v>44928</v>
      </c>
      <c r="D837" t="s">
        <v>7</v>
      </c>
      <c r="E837">
        <v>39</v>
      </c>
      <c r="F837" t="s">
        <v>6</v>
      </c>
      <c r="H837" t="s">
        <v>61</v>
      </c>
      <c r="I837">
        <v>2023</v>
      </c>
    </row>
    <row r="838" spans="1:9" x14ac:dyDescent="0.3">
      <c r="A838">
        <v>173131478</v>
      </c>
      <c r="B838" s="1">
        <v>44928</v>
      </c>
      <c r="D838" t="s">
        <v>7</v>
      </c>
      <c r="E838">
        <v>39</v>
      </c>
      <c r="F838" t="s">
        <v>6</v>
      </c>
      <c r="H838" t="s">
        <v>61</v>
      </c>
      <c r="I838">
        <v>2023</v>
      </c>
    </row>
    <row r="839" spans="1:9" x14ac:dyDescent="0.3">
      <c r="A839">
        <v>180123121</v>
      </c>
      <c r="B839" s="1">
        <v>44928</v>
      </c>
      <c r="C839" s="1">
        <v>44928</v>
      </c>
      <c r="D839" t="s">
        <v>8</v>
      </c>
      <c r="E839">
        <v>39</v>
      </c>
      <c r="F839" t="s">
        <v>6</v>
      </c>
      <c r="G839" s="19">
        <v>0</v>
      </c>
      <c r="H839" t="s">
        <v>61</v>
      </c>
      <c r="I839">
        <v>2023</v>
      </c>
    </row>
    <row r="840" spans="1:9" x14ac:dyDescent="0.3">
      <c r="A840">
        <v>139136640</v>
      </c>
      <c r="B840" s="1">
        <v>44928</v>
      </c>
      <c r="C840" s="1">
        <v>44994</v>
      </c>
      <c r="D840" t="s">
        <v>7</v>
      </c>
      <c r="E840">
        <v>39</v>
      </c>
      <c r="F840" t="s">
        <v>6</v>
      </c>
      <c r="G840" s="19">
        <v>66</v>
      </c>
      <c r="H840" t="s">
        <v>61</v>
      </c>
      <c r="I840">
        <v>2023</v>
      </c>
    </row>
    <row r="841" spans="1:9" x14ac:dyDescent="0.3">
      <c r="A841">
        <v>172951272</v>
      </c>
      <c r="B841" s="1">
        <v>44928</v>
      </c>
      <c r="C841" s="1">
        <v>45052</v>
      </c>
      <c r="D841" t="s">
        <v>7</v>
      </c>
      <c r="E841">
        <v>39</v>
      </c>
      <c r="F841" t="s">
        <v>6</v>
      </c>
      <c r="G841" s="19">
        <v>124</v>
      </c>
      <c r="H841" t="s">
        <v>61</v>
      </c>
      <c r="I841">
        <v>2023</v>
      </c>
    </row>
    <row r="842" spans="1:9" x14ac:dyDescent="0.3">
      <c r="A842">
        <v>175473611</v>
      </c>
      <c r="B842" s="1">
        <v>44928</v>
      </c>
      <c r="C842" s="1">
        <v>45039</v>
      </c>
      <c r="D842" t="s">
        <v>7</v>
      </c>
      <c r="E842">
        <v>39</v>
      </c>
      <c r="F842" t="s">
        <v>6</v>
      </c>
      <c r="G842" s="19">
        <v>111</v>
      </c>
      <c r="H842" t="s">
        <v>61</v>
      </c>
      <c r="I842">
        <v>2023</v>
      </c>
    </row>
    <row r="843" spans="1:9" x14ac:dyDescent="0.3">
      <c r="A843">
        <v>170776130</v>
      </c>
      <c r="B843" s="1">
        <v>44928</v>
      </c>
      <c r="C843" s="1">
        <v>45034</v>
      </c>
      <c r="D843" t="s">
        <v>7</v>
      </c>
      <c r="E843">
        <v>39</v>
      </c>
      <c r="F843" t="s">
        <v>6</v>
      </c>
      <c r="G843" s="19">
        <v>106</v>
      </c>
      <c r="H843" t="s">
        <v>61</v>
      </c>
      <c r="I843">
        <v>2023</v>
      </c>
    </row>
    <row r="844" spans="1:9" x14ac:dyDescent="0.3">
      <c r="A844">
        <v>180558466</v>
      </c>
      <c r="B844" s="1">
        <v>44928</v>
      </c>
      <c r="C844" s="1">
        <v>45009</v>
      </c>
      <c r="D844" t="s">
        <v>7</v>
      </c>
      <c r="E844">
        <v>39</v>
      </c>
      <c r="F844" t="s">
        <v>6</v>
      </c>
      <c r="G844" s="19">
        <v>81</v>
      </c>
      <c r="H844" t="s">
        <v>61</v>
      </c>
      <c r="I844">
        <v>2023</v>
      </c>
    </row>
    <row r="845" spans="1:9" x14ac:dyDescent="0.3">
      <c r="A845">
        <v>171398636</v>
      </c>
      <c r="B845" s="1">
        <v>44928</v>
      </c>
      <c r="C845" s="1">
        <v>44995</v>
      </c>
      <c r="D845" t="s">
        <v>7</v>
      </c>
      <c r="E845">
        <v>39</v>
      </c>
      <c r="F845" t="s">
        <v>6</v>
      </c>
      <c r="G845" s="19">
        <v>67</v>
      </c>
      <c r="H845" t="s">
        <v>61</v>
      </c>
      <c r="I845">
        <v>2023</v>
      </c>
    </row>
    <row r="846" spans="1:9" x14ac:dyDescent="0.3">
      <c r="A846">
        <v>180424776</v>
      </c>
      <c r="B846" s="1">
        <v>44928</v>
      </c>
      <c r="C846" s="1">
        <v>45004</v>
      </c>
      <c r="D846" t="s">
        <v>7</v>
      </c>
      <c r="E846">
        <v>39</v>
      </c>
      <c r="F846" t="s">
        <v>6</v>
      </c>
      <c r="G846" s="19">
        <v>76</v>
      </c>
      <c r="H846" t="s">
        <v>61</v>
      </c>
      <c r="I846">
        <v>2023</v>
      </c>
    </row>
    <row r="847" spans="1:9" x14ac:dyDescent="0.3">
      <c r="A847">
        <v>180198528</v>
      </c>
      <c r="B847" s="1">
        <v>44928</v>
      </c>
      <c r="C847" s="1">
        <v>44966</v>
      </c>
      <c r="D847" t="s">
        <v>7</v>
      </c>
      <c r="E847">
        <v>39</v>
      </c>
      <c r="F847" t="s">
        <v>6</v>
      </c>
      <c r="G847" s="19">
        <v>38</v>
      </c>
      <c r="H847" t="s">
        <v>61</v>
      </c>
      <c r="I847">
        <v>2023</v>
      </c>
    </row>
    <row r="848" spans="1:9" x14ac:dyDescent="0.3">
      <c r="A848">
        <v>124634385</v>
      </c>
      <c r="B848" s="1">
        <v>44929</v>
      </c>
      <c r="D848" t="s">
        <v>7</v>
      </c>
      <c r="E848">
        <v>39</v>
      </c>
      <c r="F848" t="s">
        <v>6</v>
      </c>
      <c r="H848" t="s">
        <v>62</v>
      </c>
      <c r="I848">
        <v>2023</v>
      </c>
    </row>
    <row r="849" spans="1:9" x14ac:dyDescent="0.3">
      <c r="A849">
        <v>180740092</v>
      </c>
      <c r="B849" s="1">
        <v>44929</v>
      </c>
      <c r="D849" t="s">
        <v>7</v>
      </c>
      <c r="E849">
        <v>39</v>
      </c>
      <c r="F849" t="s">
        <v>6</v>
      </c>
      <c r="H849" t="s">
        <v>62</v>
      </c>
      <c r="I849">
        <v>2023</v>
      </c>
    </row>
    <row r="850" spans="1:9" x14ac:dyDescent="0.3">
      <c r="A850">
        <v>144385898</v>
      </c>
      <c r="B850" s="1">
        <v>44929</v>
      </c>
      <c r="C850" s="1">
        <v>45110</v>
      </c>
      <c r="D850" t="s">
        <v>7</v>
      </c>
      <c r="E850">
        <v>39</v>
      </c>
      <c r="F850" t="s">
        <v>6</v>
      </c>
      <c r="G850" s="19">
        <v>181</v>
      </c>
      <c r="H850" t="s">
        <v>62</v>
      </c>
      <c r="I850">
        <v>2023</v>
      </c>
    </row>
    <row r="851" spans="1:9" x14ac:dyDescent="0.3">
      <c r="A851">
        <v>175138132</v>
      </c>
      <c r="B851" s="1">
        <v>44929</v>
      </c>
      <c r="C851" s="1">
        <v>45039</v>
      </c>
      <c r="D851" t="s">
        <v>7</v>
      </c>
      <c r="E851">
        <v>39</v>
      </c>
      <c r="F851" t="s">
        <v>6</v>
      </c>
      <c r="G851" s="19">
        <v>110</v>
      </c>
      <c r="H851" t="s">
        <v>62</v>
      </c>
      <c r="I851">
        <v>2023</v>
      </c>
    </row>
    <row r="852" spans="1:9" x14ac:dyDescent="0.3">
      <c r="A852">
        <v>180968287</v>
      </c>
      <c r="B852" s="1">
        <v>44929</v>
      </c>
      <c r="C852" s="1">
        <v>45012</v>
      </c>
      <c r="D852" t="s">
        <v>7</v>
      </c>
      <c r="E852">
        <v>39</v>
      </c>
      <c r="F852" t="s">
        <v>6</v>
      </c>
      <c r="G852" s="19">
        <v>83</v>
      </c>
      <c r="H852" t="s">
        <v>62</v>
      </c>
      <c r="I852">
        <v>2023</v>
      </c>
    </row>
    <row r="853" spans="1:9" x14ac:dyDescent="0.3">
      <c r="A853">
        <v>180959934</v>
      </c>
      <c r="B853" s="1">
        <v>44929</v>
      </c>
      <c r="C853" s="1">
        <v>44993</v>
      </c>
      <c r="D853" t="s">
        <v>7</v>
      </c>
      <c r="E853">
        <v>39</v>
      </c>
      <c r="F853" t="s">
        <v>6</v>
      </c>
      <c r="G853" s="19">
        <v>64</v>
      </c>
      <c r="H853" t="s">
        <v>62</v>
      </c>
      <c r="I853">
        <v>2023</v>
      </c>
    </row>
    <row r="854" spans="1:9" x14ac:dyDescent="0.3">
      <c r="A854">
        <v>176445635</v>
      </c>
      <c r="B854" s="1">
        <v>44929</v>
      </c>
      <c r="C854" s="1">
        <v>44975</v>
      </c>
      <c r="D854" t="s">
        <v>7</v>
      </c>
      <c r="E854">
        <v>39</v>
      </c>
      <c r="F854" t="s">
        <v>6</v>
      </c>
      <c r="G854" s="19">
        <v>46</v>
      </c>
      <c r="H854" t="s">
        <v>62</v>
      </c>
      <c r="I854">
        <v>2023</v>
      </c>
    </row>
    <row r="855" spans="1:9" x14ac:dyDescent="0.3">
      <c r="A855">
        <v>180798046</v>
      </c>
      <c r="B855" s="1">
        <v>44929</v>
      </c>
      <c r="C855" s="1">
        <v>44957</v>
      </c>
      <c r="D855" t="s">
        <v>7</v>
      </c>
      <c r="E855">
        <v>39</v>
      </c>
      <c r="F855" t="s">
        <v>6</v>
      </c>
      <c r="G855" s="19">
        <v>28</v>
      </c>
      <c r="H855" t="s">
        <v>62</v>
      </c>
      <c r="I855">
        <v>2023</v>
      </c>
    </row>
    <row r="856" spans="1:9" x14ac:dyDescent="0.3">
      <c r="A856">
        <v>180718702</v>
      </c>
      <c r="B856" s="1">
        <v>44929</v>
      </c>
      <c r="C856" s="1">
        <v>44951</v>
      </c>
      <c r="D856" t="s">
        <v>7</v>
      </c>
      <c r="E856">
        <v>39</v>
      </c>
      <c r="F856" t="s">
        <v>6</v>
      </c>
      <c r="G856" s="19">
        <v>22</v>
      </c>
      <c r="H856" t="s">
        <v>62</v>
      </c>
      <c r="I856">
        <v>2023</v>
      </c>
    </row>
    <row r="857" spans="1:9" x14ac:dyDescent="0.3">
      <c r="A857">
        <v>181052392</v>
      </c>
      <c r="B857" s="1">
        <v>44929</v>
      </c>
      <c r="C857" s="1">
        <v>45161</v>
      </c>
      <c r="D857" t="s">
        <v>7</v>
      </c>
      <c r="E857">
        <v>39</v>
      </c>
      <c r="F857" t="s">
        <v>6</v>
      </c>
      <c r="G857" s="19">
        <v>232</v>
      </c>
      <c r="H857" t="s">
        <v>62</v>
      </c>
      <c r="I857">
        <v>2023</v>
      </c>
    </row>
    <row r="858" spans="1:9" x14ac:dyDescent="0.3">
      <c r="A858">
        <v>181717508</v>
      </c>
      <c r="B858" s="1">
        <v>44930</v>
      </c>
      <c r="D858" t="s">
        <v>7</v>
      </c>
      <c r="E858">
        <v>39</v>
      </c>
      <c r="F858" t="s">
        <v>6</v>
      </c>
      <c r="H858" t="s">
        <v>63</v>
      </c>
      <c r="I858">
        <v>2023</v>
      </c>
    </row>
    <row r="859" spans="1:9" x14ac:dyDescent="0.3">
      <c r="A859">
        <v>163103592</v>
      </c>
      <c r="B859" s="1">
        <v>44930</v>
      </c>
      <c r="C859" s="1">
        <v>44931</v>
      </c>
      <c r="D859" t="s">
        <v>8</v>
      </c>
      <c r="E859">
        <v>39</v>
      </c>
      <c r="F859" t="s">
        <v>6</v>
      </c>
      <c r="G859" s="19">
        <v>1</v>
      </c>
      <c r="H859" t="s">
        <v>63</v>
      </c>
      <c r="I859">
        <v>2023</v>
      </c>
    </row>
    <row r="860" spans="1:9" x14ac:dyDescent="0.3">
      <c r="A860">
        <v>146860806</v>
      </c>
      <c r="B860" s="1">
        <v>44930</v>
      </c>
      <c r="C860" s="1">
        <v>44989</v>
      </c>
      <c r="D860" t="s">
        <v>7</v>
      </c>
      <c r="E860">
        <v>39</v>
      </c>
      <c r="F860" t="s">
        <v>6</v>
      </c>
      <c r="G860" s="19">
        <v>59</v>
      </c>
      <c r="H860" t="s">
        <v>63</v>
      </c>
      <c r="I860">
        <v>2023</v>
      </c>
    </row>
    <row r="861" spans="1:9" x14ac:dyDescent="0.3">
      <c r="A861">
        <v>160532210</v>
      </c>
      <c r="B861" s="1">
        <v>44930</v>
      </c>
      <c r="C861" s="1">
        <v>44969</v>
      </c>
      <c r="D861" t="s">
        <v>7</v>
      </c>
      <c r="E861">
        <v>39</v>
      </c>
      <c r="F861" t="s">
        <v>6</v>
      </c>
      <c r="G861" s="19">
        <v>39</v>
      </c>
      <c r="H861" t="s">
        <v>63</v>
      </c>
      <c r="I861">
        <v>2023</v>
      </c>
    </row>
    <row r="862" spans="1:9" x14ac:dyDescent="0.3">
      <c r="A862">
        <v>181003342</v>
      </c>
      <c r="B862" s="1">
        <v>44930</v>
      </c>
      <c r="C862" s="1">
        <v>44985</v>
      </c>
      <c r="D862" t="s">
        <v>7</v>
      </c>
      <c r="E862">
        <v>39</v>
      </c>
      <c r="F862" t="s">
        <v>6</v>
      </c>
      <c r="G862" s="19">
        <v>55</v>
      </c>
      <c r="H862" t="s">
        <v>63</v>
      </c>
      <c r="I862">
        <v>2023</v>
      </c>
    </row>
    <row r="863" spans="1:9" x14ac:dyDescent="0.3">
      <c r="A863">
        <v>178661698</v>
      </c>
      <c r="B863" s="1">
        <v>44930</v>
      </c>
      <c r="C863" s="1">
        <v>45118</v>
      </c>
      <c r="D863" t="s">
        <v>7</v>
      </c>
      <c r="E863">
        <v>39</v>
      </c>
      <c r="F863" t="s">
        <v>6</v>
      </c>
      <c r="G863" s="19">
        <v>188</v>
      </c>
      <c r="H863" t="s">
        <v>63</v>
      </c>
      <c r="I863">
        <v>2023</v>
      </c>
    </row>
    <row r="864" spans="1:9" x14ac:dyDescent="0.3">
      <c r="A864">
        <v>178928897</v>
      </c>
      <c r="B864" s="1">
        <v>44931</v>
      </c>
      <c r="D864" t="s">
        <v>7</v>
      </c>
      <c r="E864">
        <v>39</v>
      </c>
      <c r="F864" t="s">
        <v>6</v>
      </c>
      <c r="H864" t="s">
        <v>64</v>
      </c>
      <c r="I864">
        <v>2023</v>
      </c>
    </row>
    <row r="865" spans="1:9" x14ac:dyDescent="0.3">
      <c r="A865">
        <v>181840814</v>
      </c>
      <c r="B865" s="1">
        <v>44931</v>
      </c>
      <c r="D865" t="s">
        <v>7</v>
      </c>
      <c r="E865">
        <v>39</v>
      </c>
      <c r="F865" t="s">
        <v>6</v>
      </c>
      <c r="H865" t="s">
        <v>64</v>
      </c>
      <c r="I865">
        <v>2023</v>
      </c>
    </row>
    <row r="866" spans="1:9" x14ac:dyDescent="0.3">
      <c r="A866">
        <v>166930287</v>
      </c>
      <c r="B866" s="1">
        <v>44931</v>
      </c>
      <c r="C866" s="1">
        <v>44932</v>
      </c>
      <c r="D866" t="s">
        <v>8</v>
      </c>
      <c r="E866">
        <v>39</v>
      </c>
      <c r="F866" t="s">
        <v>6</v>
      </c>
      <c r="G866" s="19">
        <v>1</v>
      </c>
      <c r="H866" t="s">
        <v>64</v>
      </c>
      <c r="I866">
        <v>2023</v>
      </c>
    </row>
    <row r="867" spans="1:9" x14ac:dyDescent="0.3">
      <c r="A867">
        <v>155956314</v>
      </c>
      <c r="B867" s="1">
        <v>44931</v>
      </c>
      <c r="C867" s="1">
        <v>44931</v>
      </c>
      <c r="D867" t="s">
        <v>8</v>
      </c>
      <c r="E867">
        <v>39</v>
      </c>
      <c r="F867" t="s">
        <v>6</v>
      </c>
      <c r="G867" s="19">
        <v>0</v>
      </c>
      <c r="H867" t="s">
        <v>64</v>
      </c>
      <c r="I867">
        <v>2023</v>
      </c>
    </row>
    <row r="868" spans="1:9" x14ac:dyDescent="0.3">
      <c r="A868">
        <v>182408564</v>
      </c>
      <c r="B868" s="1">
        <v>44931</v>
      </c>
      <c r="C868" s="1">
        <v>45050</v>
      </c>
      <c r="D868" t="s">
        <v>7</v>
      </c>
      <c r="E868">
        <v>39</v>
      </c>
      <c r="F868" t="s">
        <v>6</v>
      </c>
      <c r="G868" s="19">
        <v>119</v>
      </c>
      <c r="H868" t="s">
        <v>64</v>
      </c>
      <c r="I868">
        <v>2023</v>
      </c>
    </row>
    <row r="869" spans="1:9" x14ac:dyDescent="0.3">
      <c r="A869">
        <v>182295766</v>
      </c>
      <c r="B869" s="1">
        <v>44931</v>
      </c>
      <c r="C869" s="1">
        <v>44997</v>
      </c>
      <c r="D869" t="s">
        <v>7</v>
      </c>
      <c r="E869">
        <v>39</v>
      </c>
      <c r="F869" t="s">
        <v>6</v>
      </c>
      <c r="G869" s="19">
        <v>66</v>
      </c>
      <c r="H869" t="s">
        <v>64</v>
      </c>
      <c r="I869">
        <v>2023</v>
      </c>
    </row>
    <row r="870" spans="1:9" x14ac:dyDescent="0.3">
      <c r="A870">
        <v>155881023</v>
      </c>
      <c r="B870" s="1">
        <v>44931</v>
      </c>
      <c r="C870" s="1">
        <v>44987</v>
      </c>
      <c r="D870" t="s">
        <v>7</v>
      </c>
      <c r="E870">
        <v>39</v>
      </c>
      <c r="F870" t="s">
        <v>6</v>
      </c>
      <c r="G870" s="19">
        <v>56</v>
      </c>
      <c r="H870" t="s">
        <v>64</v>
      </c>
      <c r="I870">
        <v>2023</v>
      </c>
    </row>
    <row r="871" spans="1:9" x14ac:dyDescent="0.3">
      <c r="A871">
        <v>152750569</v>
      </c>
      <c r="B871" s="1">
        <v>44931</v>
      </c>
      <c r="C871" s="1">
        <v>44969</v>
      </c>
      <c r="D871" t="s">
        <v>7</v>
      </c>
      <c r="E871">
        <v>39</v>
      </c>
      <c r="F871" t="s">
        <v>6</v>
      </c>
      <c r="G871" s="19">
        <v>38</v>
      </c>
      <c r="H871" t="s">
        <v>64</v>
      </c>
      <c r="I871">
        <v>2023</v>
      </c>
    </row>
    <row r="872" spans="1:9" x14ac:dyDescent="0.3">
      <c r="A872">
        <v>178345451</v>
      </c>
      <c r="B872" s="1">
        <v>44931</v>
      </c>
      <c r="C872" s="1">
        <v>44969</v>
      </c>
      <c r="D872" t="s">
        <v>7</v>
      </c>
      <c r="E872">
        <v>39</v>
      </c>
      <c r="F872" t="s">
        <v>6</v>
      </c>
      <c r="G872" s="19">
        <v>38</v>
      </c>
      <c r="H872" t="s">
        <v>64</v>
      </c>
      <c r="I872">
        <v>2023</v>
      </c>
    </row>
    <row r="873" spans="1:9" x14ac:dyDescent="0.3">
      <c r="A873">
        <v>179758181</v>
      </c>
      <c r="B873" s="1">
        <v>44932</v>
      </c>
      <c r="D873" t="s">
        <v>7</v>
      </c>
      <c r="E873">
        <v>39</v>
      </c>
      <c r="F873" t="s">
        <v>6</v>
      </c>
      <c r="H873" t="s">
        <v>65</v>
      </c>
      <c r="I873">
        <v>2023</v>
      </c>
    </row>
    <row r="874" spans="1:9" x14ac:dyDescent="0.3">
      <c r="A874">
        <v>167266048</v>
      </c>
      <c r="B874" s="1">
        <v>44932</v>
      </c>
      <c r="D874" t="s">
        <v>7</v>
      </c>
      <c r="E874">
        <v>39</v>
      </c>
      <c r="F874" t="s">
        <v>6</v>
      </c>
      <c r="H874" t="s">
        <v>65</v>
      </c>
      <c r="I874">
        <v>2023</v>
      </c>
    </row>
    <row r="875" spans="1:9" x14ac:dyDescent="0.3">
      <c r="A875">
        <v>182719870</v>
      </c>
      <c r="B875" s="1">
        <v>44932</v>
      </c>
      <c r="C875" s="1">
        <v>45050</v>
      </c>
      <c r="D875" t="s">
        <v>7</v>
      </c>
      <c r="E875">
        <v>39</v>
      </c>
      <c r="F875" t="s">
        <v>6</v>
      </c>
      <c r="G875" s="19">
        <v>118</v>
      </c>
      <c r="H875" t="s">
        <v>65</v>
      </c>
      <c r="I875">
        <v>2023</v>
      </c>
    </row>
    <row r="876" spans="1:9" x14ac:dyDescent="0.3">
      <c r="A876">
        <v>182408430</v>
      </c>
      <c r="B876" s="1">
        <v>44932</v>
      </c>
      <c r="C876" s="1">
        <v>45056</v>
      </c>
      <c r="D876" t="s">
        <v>7</v>
      </c>
      <c r="E876">
        <v>39</v>
      </c>
      <c r="F876" t="s">
        <v>6</v>
      </c>
      <c r="G876" s="19">
        <v>124</v>
      </c>
      <c r="H876" t="s">
        <v>65</v>
      </c>
      <c r="I876">
        <v>2023</v>
      </c>
    </row>
    <row r="877" spans="1:9" x14ac:dyDescent="0.3">
      <c r="A877">
        <v>181072524</v>
      </c>
      <c r="B877" s="1">
        <v>44932</v>
      </c>
      <c r="C877" s="1">
        <v>45107</v>
      </c>
      <c r="D877" t="s">
        <v>7</v>
      </c>
      <c r="E877">
        <v>39</v>
      </c>
      <c r="F877" t="s">
        <v>6</v>
      </c>
      <c r="G877" s="19">
        <v>175</v>
      </c>
      <c r="H877" t="s">
        <v>65</v>
      </c>
      <c r="I877">
        <v>2023</v>
      </c>
    </row>
    <row r="878" spans="1:9" x14ac:dyDescent="0.3">
      <c r="A878">
        <v>182747824</v>
      </c>
      <c r="B878" s="1">
        <v>44932</v>
      </c>
      <c r="C878" s="1">
        <v>45029</v>
      </c>
      <c r="D878" t="s">
        <v>7</v>
      </c>
      <c r="E878">
        <v>39</v>
      </c>
      <c r="F878" t="s">
        <v>6</v>
      </c>
      <c r="G878" s="19">
        <v>97</v>
      </c>
      <c r="H878" t="s">
        <v>65</v>
      </c>
      <c r="I878">
        <v>2023</v>
      </c>
    </row>
    <row r="879" spans="1:9" x14ac:dyDescent="0.3">
      <c r="A879">
        <v>182700534</v>
      </c>
      <c r="B879" s="1">
        <v>44932</v>
      </c>
      <c r="C879" s="1">
        <v>45011</v>
      </c>
      <c r="D879" t="s">
        <v>7</v>
      </c>
      <c r="E879">
        <v>39</v>
      </c>
      <c r="F879" t="s">
        <v>6</v>
      </c>
      <c r="G879" s="19">
        <v>79</v>
      </c>
      <c r="H879" t="s">
        <v>65</v>
      </c>
      <c r="I879">
        <v>2023</v>
      </c>
    </row>
    <row r="880" spans="1:9" x14ac:dyDescent="0.3">
      <c r="A880">
        <v>182727349</v>
      </c>
      <c r="B880" s="1">
        <v>44932</v>
      </c>
      <c r="C880" s="1">
        <v>44963</v>
      </c>
      <c r="D880" t="s">
        <v>7</v>
      </c>
      <c r="E880">
        <v>39</v>
      </c>
      <c r="F880" t="s">
        <v>6</v>
      </c>
      <c r="G880" s="19">
        <v>31</v>
      </c>
      <c r="H880" t="s">
        <v>65</v>
      </c>
      <c r="I880">
        <v>2023</v>
      </c>
    </row>
    <row r="881" spans="1:9" x14ac:dyDescent="0.3">
      <c r="A881">
        <v>182636324</v>
      </c>
      <c r="B881" s="1">
        <v>44932</v>
      </c>
      <c r="C881" s="1">
        <v>44960</v>
      </c>
      <c r="D881" t="s">
        <v>7</v>
      </c>
      <c r="E881">
        <v>39</v>
      </c>
      <c r="F881" t="s">
        <v>6</v>
      </c>
      <c r="G881" s="19">
        <v>28</v>
      </c>
      <c r="H881" t="s">
        <v>65</v>
      </c>
      <c r="I881">
        <v>2023</v>
      </c>
    </row>
    <row r="882" spans="1:9" x14ac:dyDescent="0.3">
      <c r="A882">
        <v>170485769</v>
      </c>
      <c r="B882" s="1">
        <v>44932</v>
      </c>
      <c r="C882" s="1">
        <v>44932</v>
      </c>
      <c r="D882" t="s">
        <v>7</v>
      </c>
      <c r="E882">
        <v>39</v>
      </c>
      <c r="F882" t="s">
        <v>6</v>
      </c>
      <c r="G882" s="19">
        <v>0</v>
      </c>
      <c r="H882" t="s">
        <v>65</v>
      </c>
      <c r="I882">
        <v>2023</v>
      </c>
    </row>
    <row r="883" spans="1:9" x14ac:dyDescent="0.3">
      <c r="A883">
        <v>182627508</v>
      </c>
      <c r="B883" s="1">
        <v>44932</v>
      </c>
      <c r="C883" s="1">
        <v>44932</v>
      </c>
      <c r="D883" t="s">
        <v>7</v>
      </c>
      <c r="E883">
        <v>39</v>
      </c>
      <c r="F883" t="s">
        <v>6</v>
      </c>
      <c r="G883" s="19">
        <v>0</v>
      </c>
      <c r="H883" t="s">
        <v>65</v>
      </c>
      <c r="I883">
        <v>2023</v>
      </c>
    </row>
    <row r="884" spans="1:9" x14ac:dyDescent="0.3">
      <c r="A884">
        <v>182834016</v>
      </c>
      <c r="B884" s="1">
        <v>44933</v>
      </c>
      <c r="C884" s="1">
        <v>45091</v>
      </c>
      <c r="D884" t="s">
        <v>7</v>
      </c>
      <c r="E884">
        <v>39</v>
      </c>
      <c r="F884" t="s">
        <v>6</v>
      </c>
      <c r="G884" s="19">
        <v>158</v>
      </c>
      <c r="H884" t="s">
        <v>66</v>
      </c>
      <c r="I884">
        <v>2023</v>
      </c>
    </row>
    <row r="885" spans="1:9" x14ac:dyDescent="0.3">
      <c r="A885">
        <v>163535855</v>
      </c>
      <c r="B885" s="1">
        <v>44933</v>
      </c>
      <c r="C885" s="1">
        <v>45098</v>
      </c>
      <c r="D885" t="s">
        <v>7</v>
      </c>
      <c r="E885">
        <v>39</v>
      </c>
      <c r="F885" t="s">
        <v>6</v>
      </c>
      <c r="G885" s="19">
        <v>165</v>
      </c>
      <c r="H885" t="s">
        <v>66</v>
      </c>
      <c r="I885">
        <v>2023</v>
      </c>
    </row>
    <row r="886" spans="1:9" x14ac:dyDescent="0.3">
      <c r="A886">
        <v>183002853</v>
      </c>
      <c r="B886" s="1">
        <v>44933</v>
      </c>
      <c r="C886" s="1">
        <v>45024</v>
      </c>
      <c r="D886" t="s">
        <v>7</v>
      </c>
      <c r="E886">
        <v>39</v>
      </c>
      <c r="F886" t="s">
        <v>6</v>
      </c>
      <c r="G886" s="19">
        <v>91</v>
      </c>
      <c r="H886" t="s">
        <v>66</v>
      </c>
      <c r="I886">
        <v>2023</v>
      </c>
    </row>
    <row r="887" spans="1:9" x14ac:dyDescent="0.3">
      <c r="A887">
        <v>148338824</v>
      </c>
      <c r="B887" s="1">
        <v>44933</v>
      </c>
      <c r="C887" s="1">
        <v>44964</v>
      </c>
      <c r="D887" t="s">
        <v>7</v>
      </c>
      <c r="E887">
        <v>39</v>
      </c>
      <c r="F887" t="s">
        <v>6</v>
      </c>
      <c r="G887" s="19">
        <v>31</v>
      </c>
      <c r="H887" t="s">
        <v>66</v>
      </c>
      <c r="I887">
        <v>2023</v>
      </c>
    </row>
    <row r="888" spans="1:9" x14ac:dyDescent="0.3">
      <c r="A888">
        <v>181712692</v>
      </c>
      <c r="B888" s="1">
        <v>44933</v>
      </c>
      <c r="C888" s="1">
        <v>44933</v>
      </c>
      <c r="D888" t="s">
        <v>7</v>
      </c>
      <c r="E888">
        <v>39</v>
      </c>
      <c r="F888" t="s">
        <v>6</v>
      </c>
      <c r="G888" s="19">
        <v>0</v>
      </c>
      <c r="H888" t="s">
        <v>66</v>
      </c>
      <c r="I888">
        <v>2023</v>
      </c>
    </row>
    <row r="889" spans="1:9" x14ac:dyDescent="0.3">
      <c r="A889">
        <v>181770777</v>
      </c>
      <c r="B889" s="1">
        <v>44934</v>
      </c>
      <c r="D889" t="s">
        <v>7</v>
      </c>
      <c r="E889">
        <v>39</v>
      </c>
      <c r="F889" t="s">
        <v>6</v>
      </c>
      <c r="H889" t="s">
        <v>60</v>
      </c>
      <c r="I889">
        <v>2023</v>
      </c>
    </row>
    <row r="890" spans="1:9" x14ac:dyDescent="0.3">
      <c r="A890">
        <v>161269602</v>
      </c>
      <c r="B890" s="1">
        <v>44934</v>
      </c>
      <c r="C890" s="1">
        <v>44934</v>
      </c>
      <c r="D890" t="s">
        <v>7</v>
      </c>
      <c r="E890">
        <v>39</v>
      </c>
      <c r="F890" t="s">
        <v>6</v>
      </c>
      <c r="G890" s="19">
        <v>0</v>
      </c>
      <c r="H890" t="s">
        <v>60</v>
      </c>
      <c r="I890">
        <v>2023</v>
      </c>
    </row>
    <row r="891" spans="1:9" x14ac:dyDescent="0.3">
      <c r="A891">
        <v>145799416</v>
      </c>
      <c r="B891" s="1">
        <v>44934</v>
      </c>
      <c r="C891" s="1">
        <v>44967</v>
      </c>
      <c r="D891" t="s">
        <v>7</v>
      </c>
      <c r="E891">
        <v>39</v>
      </c>
      <c r="F891" t="s">
        <v>6</v>
      </c>
      <c r="G891" s="19">
        <v>33</v>
      </c>
      <c r="H891" t="s">
        <v>60</v>
      </c>
      <c r="I891">
        <v>2023</v>
      </c>
    </row>
    <row r="892" spans="1:9" x14ac:dyDescent="0.3">
      <c r="A892">
        <v>182753953</v>
      </c>
      <c r="B892" s="1">
        <v>44934</v>
      </c>
      <c r="C892" s="1">
        <v>45019</v>
      </c>
      <c r="D892" t="s">
        <v>7</v>
      </c>
      <c r="E892">
        <v>39</v>
      </c>
      <c r="F892" t="s">
        <v>6</v>
      </c>
      <c r="G892" s="19">
        <v>85</v>
      </c>
      <c r="H892" t="s">
        <v>60</v>
      </c>
      <c r="I892">
        <v>2023</v>
      </c>
    </row>
    <row r="893" spans="1:9" x14ac:dyDescent="0.3">
      <c r="A893">
        <v>162944728</v>
      </c>
      <c r="B893" s="1">
        <v>44934</v>
      </c>
      <c r="C893" s="1">
        <v>44986</v>
      </c>
      <c r="D893" t="s">
        <v>7</v>
      </c>
      <c r="E893">
        <v>39</v>
      </c>
      <c r="F893" t="s">
        <v>6</v>
      </c>
      <c r="G893" s="19">
        <v>52</v>
      </c>
      <c r="H893" t="s">
        <v>60</v>
      </c>
      <c r="I893">
        <v>2023</v>
      </c>
    </row>
    <row r="894" spans="1:9" x14ac:dyDescent="0.3">
      <c r="A894">
        <v>161249852</v>
      </c>
      <c r="B894" s="1">
        <v>44934</v>
      </c>
      <c r="C894" s="1">
        <v>44941</v>
      </c>
      <c r="D894" t="s">
        <v>7</v>
      </c>
      <c r="E894">
        <v>39</v>
      </c>
      <c r="F894" t="s">
        <v>6</v>
      </c>
      <c r="G894" s="19">
        <v>7</v>
      </c>
      <c r="H894" t="s">
        <v>60</v>
      </c>
      <c r="I894">
        <v>2023</v>
      </c>
    </row>
    <row r="895" spans="1:9" x14ac:dyDescent="0.3">
      <c r="A895">
        <v>183916833</v>
      </c>
      <c r="B895" s="1">
        <v>44935</v>
      </c>
      <c r="D895" t="s">
        <v>7</v>
      </c>
      <c r="E895">
        <v>39</v>
      </c>
      <c r="F895" t="s">
        <v>6</v>
      </c>
      <c r="H895" t="s">
        <v>61</v>
      </c>
      <c r="I895">
        <v>2023</v>
      </c>
    </row>
    <row r="896" spans="1:9" x14ac:dyDescent="0.3">
      <c r="A896">
        <v>169141612</v>
      </c>
      <c r="B896" s="1">
        <v>44935</v>
      </c>
      <c r="C896" s="1">
        <v>44936</v>
      </c>
      <c r="D896" t="s">
        <v>8</v>
      </c>
      <c r="E896">
        <v>39</v>
      </c>
      <c r="F896" t="s">
        <v>6</v>
      </c>
      <c r="G896" s="19">
        <v>1</v>
      </c>
      <c r="H896" t="s">
        <v>61</v>
      </c>
      <c r="I896">
        <v>2023</v>
      </c>
    </row>
    <row r="897" spans="1:9" x14ac:dyDescent="0.3">
      <c r="A897">
        <v>128768010</v>
      </c>
      <c r="B897" s="1">
        <v>44935</v>
      </c>
      <c r="C897" s="1">
        <v>44938</v>
      </c>
      <c r="D897" t="s">
        <v>7</v>
      </c>
      <c r="E897">
        <v>39</v>
      </c>
      <c r="F897" t="s">
        <v>6</v>
      </c>
      <c r="G897" s="19">
        <v>3</v>
      </c>
      <c r="H897" t="s">
        <v>61</v>
      </c>
      <c r="I897">
        <v>2023</v>
      </c>
    </row>
    <row r="898" spans="1:9" x14ac:dyDescent="0.3">
      <c r="A898">
        <v>138520918</v>
      </c>
      <c r="B898" s="1">
        <v>44935</v>
      </c>
      <c r="C898" s="1">
        <v>44935</v>
      </c>
      <c r="D898" t="s">
        <v>7</v>
      </c>
      <c r="E898">
        <v>39</v>
      </c>
      <c r="F898" t="s">
        <v>6</v>
      </c>
      <c r="G898" s="19">
        <v>0</v>
      </c>
      <c r="H898" t="s">
        <v>61</v>
      </c>
      <c r="I898">
        <v>2023</v>
      </c>
    </row>
    <row r="899" spans="1:9" x14ac:dyDescent="0.3">
      <c r="A899">
        <v>162946328</v>
      </c>
      <c r="B899" s="1">
        <v>44935</v>
      </c>
      <c r="C899" s="1">
        <v>45054</v>
      </c>
      <c r="D899" t="s">
        <v>7</v>
      </c>
      <c r="E899">
        <v>39</v>
      </c>
      <c r="F899" t="s">
        <v>6</v>
      </c>
      <c r="G899" s="19">
        <v>119</v>
      </c>
      <c r="H899" t="s">
        <v>61</v>
      </c>
      <c r="I899">
        <v>2023</v>
      </c>
    </row>
    <row r="900" spans="1:9" x14ac:dyDescent="0.3">
      <c r="A900">
        <v>182929556</v>
      </c>
      <c r="B900" s="1">
        <v>44935</v>
      </c>
      <c r="C900" s="1">
        <v>45026</v>
      </c>
      <c r="D900" t="s">
        <v>7</v>
      </c>
      <c r="E900">
        <v>39</v>
      </c>
      <c r="F900" t="s">
        <v>6</v>
      </c>
      <c r="G900" s="19">
        <v>91</v>
      </c>
      <c r="H900" t="s">
        <v>61</v>
      </c>
      <c r="I900">
        <v>2023</v>
      </c>
    </row>
    <row r="901" spans="1:9" x14ac:dyDescent="0.3">
      <c r="A901">
        <v>153704184</v>
      </c>
      <c r="B901" s="1">
        <v>44935</v>
      </c>
      <c r="C901" s="1">
        <v>45024</v>
      </c>
      <c r="D901" t="s">
        <v>7</v>
      </c>
      <c r="E901">
        <v>39</v>
      </c>
      <c r="F901" t="s">
        <v>6</v>
      </c>
      <c r="G901" s="19">
        <v>89</v>
      </c>
      <c r="H901" t="s">
        <v>61</v>
      </c>
      <c r="I901">
        <v>2023</v>
      </c>
    </row>
    <row r="902" spans="1:9" x14ac:dyDescent="0.3">
      <c r="A902">
        <v>136326172</v>
      </c>
      <c r="B902" s="1">
        <v>44935</v>
      </c>
      <c r="C902" s="1">
        <v>44993</v>
      </c>
      <c r="D902" t="s">
        <v>7</v>
      </c>
      <c r="E902">
        <v>39</v>
      </c>
      <c r="F902" t="s">
        <v>6</v>
      </c>
      <c r="G902" s="19">
        <v>58</v>
      </c>
      <c r="H902" t="s">
        <v>61</v>
      </c>
      <c r="I902">
        <v>2023</v>
      </c>
    </row>
    <row r="903" spans="1:9" x14ac:dyDescent="0.3">
      <c r="A903">
        <v>182505210</v>
      </c>
      <c r="B903" s="1">
        <v>44935</v>
      </c>
      <c r="C903" s="1">
        <v>44965</v>
      </c>
      <c r="D903" t="s">
        <v>7</v>
      </c>
      <c r="E903">
        <v>39</v>
      </c>
      <c r="F903" t="s">
        <v>6</v>
      </c>
      <c r="G903" s="19">
        <v>30</v>
      </c>
      <c r="H903" t="s">
        <v>61</v>
      </c>
      <c r="I903">
        <v>2023</v>
      </c>
    </row>
    <row r="904" spans="1:9" x14ac:dyDescent="0.3">
      <c r="A904">
        <v>184370857</v>
      </c>
      <c r="B904" s="1">
        <v>44936</v>
      </c>
      <c r="D904" t="s">
        <v>7</v>
      </c>
      <c r="E904">
        <v>39</v>
      </c>
      <c r="F904" t="s">
        <v>6</v>
      </c>
      <c r="H904" t="s">
        <v>62</v>
      </c>
      <c r="I904">
        <v>2023</v>
      </c>
    </row>
    <row r="905" spans="1:9" x14ac:dyDescent="0.3">
      <c r="A905">
        <v>184310344</v>
      </c>
      <c r="B905" s="1">
        <v>44936</v>
      </c>
      <c r="C905" s="1">
        <v>45027</v>
      </c>
      <c r="D905" t="s">
        <v>7</v>
      </c>
      <c r="E905">
        <v>39</v>
      </c>
      <c r="F905" t="s">
        <v>6</v>
      </c>
      <c r="G905" s="19">
        <v>91</v>
      </c>
      <c r="H905" t="s">
        <v>62</v>
      </c>
      <c r="I905">
        <v>2023</v>
      </c>
    </row>
    <row r="906" spans="1:9" x14ac:dyDescent="0.3">
      <c r="A906">
        <v>183346055</v>
      </c>
      <c r="B906" s="1">
        <v>44936</v>
      </c>
      <c r="C906" s="1">
        <v>45002</v>
      </c>
      <c r="D906" t="s">
        <v>7</v>
      </c>
      <c r="E906">
        <v>39</v>
      </c>
      <c r="F906" t="s">
        <v>6</v>
      </c>
      <c r="G906" s="19">
        <v>66</v>
      </c>
      <c r="H906" t="s">
        <v>62</v>
      </c>
      <c r="I906">
        <v>2023</v>
      </c>
    </row>
    <row r="907" spans="1:9" x14ac:dyDescent="0.3">
      <c r="A907">
        <v>178952278</v>
      </c>
      <c r="B907" s="1">
        <v>44936</v>
      </c>
      <c r="C907" s="1">
        <v>44996</v>
      </c>
      <c r="D907" t="s">
        <v>7</v>
      </c>
      <c r="E907">
        <v>39</v>
      </c>
      <c r="F907" t="s">
        <v>6</v>
      </c>
      <c r="G907" s="19">
        <v>60</v>
      </c>
      <c r="H907" t="s">
        <v>62</v>
      </c>
      <c r="I907">
        <v>2023</v>
      </c>
    </row>
    <row r="908" spans="1:9" x14ac:dyDescent="0.3">
      <c r="A908">
        <v>184345202</v>
      </c>
      <c r="B908" s="1">
        <v>44936</v>
      </c>
      <c r="C908" s="1">
        <v>44980</v>
      </c>
      <c r="D908" t="s">
        <v>7</v>
      </c>
      <c r="E908">
        <v>39</v>
      </c>
      <c r="F908" t="s">
        <v>6</v>
      </c>
      <c r="G908" s="19">
        <v>44</v>
      </c>
      <c r="H908" t="s">
        <v>62</v>
      </c>
      <c r="I908">
        <v>2023</v>
      </c>
    </row>
    <row r="909" spans="1:9" x14ac:dyDescent="0.3">
      <c r="A909">
        <v>182837162</v>
      </c>
      <c r="B909" s="1">
        <v>44936</v>
      </c>
      <c r="C909" s="1">
        <v>44962</v>
      </c>
      <c r="D909" t="s">
        <v>7</v>
      </c>
      <c r="E909">
        <v>39</v>
      </c>
      <c r="F909" t="s">
        <v>6</v>
      </c>
      <c r="G909" s="19">
        <v>26</v>
      </c>
      <c r="H909" t="s">
        <v>62</v>
      </c>
      <c r="I909">
        <v>2023</v>
      </c>
    </row>
    <row r="910" spans="1:9" x14ac:dyDescent="0.3">
      <c r="A910">
        <v>182927038</v>
      </c>
      <c r="B910" s="1">
        <v>44936</v>
      </c>
      <c r="C910" s="1">
        <v>44975</v>
      </c>
      <c r="D910" t="s">
        <v>7</v>
      </c>
      <c r="E910">
        <v>39</v>
      </c>
      <c r="F910" t="s">
        <v>6</v>
      </c>
      <c r="G910" s="19">
        <v>39</v>
      </c>
      <c r="H910" t="s">
        <v>62</v>
      </c>
      <c r="I910">
        <v>2023</v>
      </c>
    </row>
    <row r="911" spans="1:9" x14ac:dyDescent="0.3">
      <c r="A911">
        <v>181739784</v>
      </c>
      <c r="B911" s="1">
        <v>44936</v>
      </c>
      <c r="C911" s="1">
        <v>44965</v>
      </c>
      <c r="D911" t="s">
        <v>7</v>
      </c>
      <c r="E911">
        <v>39</v>
      </c>
      <c r="F911" t="s">
        <v>6</v>
      </c>
      <c r="G911" s="19">
        <v>29</v>
      </c>
      <c r="H911" t="s">
        <v>62</v>
      </c>
      <c r="I911">
        <v>2023</v>
      </c>
    </row>
    <row r="912" spans="1:9" x14ac:dyDescent="0.3">
      <c r="A912">
        <v>178605410</v>
      </c>
      <c r="B912" s="1">
        <v>44936</v>
      </c>
      <c r="C912" s="1">
        <v>44974</v>
      </c>
      <c r="D912" t="s">
        <v>7</v>
      </c>
      <c r="E912">
        <v>39</v>
      </c>
      <c r="F912" t="s">
        <v>6</v>
      </c>
      <c r="G912" s="19">
        <v>38</v>
      </c>
      <c r="H912" t="s">
        <v>62</v>
      </c>
      <c r="I912">
        <v>2023</v>
      </c>
    </row>
    <row r="913" spans="1:9" x14ac:dyDescent="0.3">
      <c r="A913">
        <v>184334484</v>
      </c>
      <c r="B913" s="1">
        <v>44937</v>
      </c>
      <c r="D913" t="s">
        <v>7</v>
      </c>
      <c r="E913">
        <v>39</v>
      </c>
      <c r="F913" t="s">
        <v>6</v>
      </c>
      <c r="H913" t="s">
        <v>63</v>
      </c>
      <c r="I913">
        <v>2023</v>
      </c>
    </row>
    <row r="914" spans="1:9" x14ac:dyDescent="0.3">
      <c r="A914">
        <v>181576265</v>
      </c>
      <c r="B914" s="1">
        <v>44937</v>
      </c>
      <c r="D914" t="s">
        <v>7</v>
      </c>
      <c r="E914">
        <v>39</v>
      </c>
      <c r="F914" t="s">
        <v>6</v>
      </c>
      <c r="H914" t="s">
        <v>63</v>
      </c>
      <c r="I914">
        <v>2023</v>
      </c>
    </row>
    <row r="915" spans="1:9" x14ac:dyDescent="0.3">
      <c r="A915">
        <v>183645116</v>
      </c>
      <c r="B915" s="1">
        <v>44937</v>
      </c>
      <c r="D915" t="s">
        <v>7</v>
      </c>
      <c r="E915">
        <v>39</v>
      </c>
      <c r="F915" t="s">
        <v>6</v>
      </c>
      <c r="H915" t="s">
        <v>63</v>
      </c>
      <c r="I915">
        <v>2023</v>
      </c>
    </row>
    <row r="916" spans="1:9" x14ac:dyDescent="0.3">
      <c r="A916">
        <v>184812094</v>
      </c>
      <c r="B916" s="1">
        <v>44937</v>
      </c>
      <c r="C916" s="1">
        <v>45023</v>
      </c>
      <c r="D916" t="s">
        <v>7</v>
      </c>
      <c r="E916">
        <v>39</v>
      </c>
      <c r="F916" t="s">
        <v>6</v>
      </c>
      <c r="G916" s="19">
        <v>86</v>
      </c>
      <c r="H916" t="s">
        <v>63</v>
      </c>
      <c r="I916">
        <v>2023</v>
      </c>
    </row>
    <row r="917" spans="1:9" x14ac:dyDescent="0.3">
      <c r="A917">
        <v>152089648</v>
      </c>
      <c r="B917" s="1">
        <v>44937</v>
      </c>
      <c r="C917" s="1">
        <v>45003</v>
      </c>
      <c r="D917" t="s">
        <v>7</v>
      </c>
      <c r="E917">
        <v>39</v>
      </c>
      <c r="F917" t="s">
        <v>6</v>
      </c>
      <c r="G917" s="19">
        <v>66</v>
      </c>
      <c r="H917" t="s">
        <v>63</v>
      </c>
      <c r="I917">
        <v>2023</v>
      </c>
    </row>
    <row r="918" spans="1:9" x14ac:dyDescent="0.3">
      <c r="A918">
        <v>148710968</v>
      </c>
      <c r="B918" s="1">
        <v>44937</v>
      </c>
      <c r="C918" s="1">
        <v>44964</v>
      </c>
      <c r="D918" t="s">
        <v>7</v>
      </c>
      <c r="E918">
        <v>39</v>
      </c>
      <c r="F918" t="s">
        <v>6</v>
      </c>
      <c r="G918" s="19">
        <v>27</v>
      </c>
      <c r="H918" t="s">
        <v>63</v>
      </c>
      <c r="I918">
        <v>2023</v>
      </c>
    </row>
    <row r="919" spans="1:9" x14ac:dyDescent="0.3">
      <c r="A919">
        <v>183197132</v>
      </c>
      <c r="B919" s="1">
        <v>44938</v>
      </c>
      <c r="D919" t="s">
        <v>7</v>
      </c>
      <c r="E919">
        <v>39</v>
      </c>
      <c r="F919" t="s">
        <v>6</v>
      </c>
      <c r="H919" t="s">
        <v>64</v>
      </c>
      <c r="I919">
        <v>2023</v>
      </c>
    </row>
    <row r="920" spans="1:9" x14ac:dyDescent="0.3">
      <c r="A920">
        <v>156239744</v>
      </c>
      <c r="B920" s="1">
        <v>44938</v>
      </c>
      <c r="D920" t="s">
        <v>7</v>
      </c>
      <c r="E920">
        <v>39</v>
      </c>
      <c r="F920" t="s">
        <v>6</v>
      </c>
      <c r="H920" t="s">
        <v>64</v>
      </c>
      <c r="I920">
        <v>2023</v>
      </c>
    </row>
    <row r="921" spans="1:9" x14ac:dyDescent="0.3">
      <c r="A921">
        <v>184481262</v>
      </c>
      <c r="B921" s="1">
        <v>44938</v>
      </c>
      <c r="D921" t="s">
        <v>7</v>
      </c>
      <c r="E921">
        <v>39</v>
      </c>
      <c r="F921" t="s">
        <v>6</v>
      </c>
      <c r="H921" t="s">
        <v>64</v>
      </c>
      <c r="I921">
        <v>2023</v>
      </c>
    </row>
    <row r="922" spans="1:9" x14ac:dyDescent="0.3">
      <c r="A922">
        <v>153186137</v>
      </c>
      <c r="B922" s="1">
        <v>44938</v>
      </c>
      <c r="C922" s="1">
        <v>44939</v>
      </c>
      <c r="D922" t="s">
        <v>7</v>
      </c>
      <c r="E922">
        <v>39</v>
      </c>
      <c r="F922" t="s">
        <v>6</v>
      </c>
      <c r="G922" s="19">
        <v>1</v>
      </c>
      <c r="H922" t="s">
        <v>64</v>
      </c>
      <c r="I922">
        <v>2023</v>
      </c>
    </row>
    <row r="923" spans="1:9" x14ac:dyDescent="0.3">
      <c r="A923">
        <v>185374268</v>
      </c>
      <c r="B923" s="1">
        <v>44938</v>
      </c>
      <c r="C923" s="1">
        <v>44939</v>
      </c>
      <c r="D923" t="s">
        <v>8</v>
      </c>
      <c r="E923">
        <v>39</v>
      </c>
      <c r="F923" t="s">
        <v>6</v>
      </c>
      <c r="G923" s="19">
        <v>1</v>
      </c>
      <c r="H923" t="s">
        <v>64</v>
      </c>
      <c r="I923">
        <v>2023</v>
      </c>
    </row>
    <row r="924" spans="1:9" x14ac:dyDescent="0.3">
      <c r="A924">
        <v>185367349</v>
      </c>
      <c r="B924" s="1">
        <v>44938</v>
      </c>
      <c r="C924" s="1">
        <v>44939</v>
      </c>
      <c r="D924" t="s">
        <v>8</v>
      </c>
      <c r="E924">
        <v>39</v>
      </c>
      <c r="F924" t="s">
        <v>6</v>
      </c>
      <c r="G924" s="19">
        <v>1</v>
      </c>
      <c r="H924" t="s">
        <v>64</v>
      </c>
      <c r="I924">
        <v>2023</v>
      </c>
    </row>
    <row r="925" spans="1:9" x14ac:dyDescent="0.3">
      <c r="A925">
        <v>150793080</v>
      </c>
      <c r="B925" s="1">
        <v>44938</v>
      </c>
      <c r="C925" s="1">
        <v>44986</v>
      </c>
      <c r="D925" t="s">
        <v>7</v>
      </c>
      <c r="E925">
        <v>39</v>
      </c>
      <c r="F925" t="s">
        <v>6</v>
      </c>
      <c r="G925" s="19">
        <v>48</v>
      </c>
      <c r="H925" t="s">
        <v>64</v>
      </c>
      <c r="I925">
        <v>2023</v>
      </c>
    </row>
    <row r="926" spans="1:9" x14ac:dyDescent="0.3">
      <c r="A926">
        <v>183406772</v>
      </c>
      <c r="B926" s="1">
        <v>44938</v>
      </c>
      <c r="C926" s="1">
        <v>44990</v>
      </c>
      <c r="D926" t="s">
        <v>7</v>
      </c>
      <c r="E926">
        <v>39</v>
      </c>
      <c r="F926" t="s">
        <v>6</v>
      </c>
      <c r="G926" s="19">
        <v>52</v>
      </c>
      <c r="H926" t="s">
        <v>64</v>
      </c>
      <c r="I926">
        <v>2023</v>
      </c>
    </row>
    <row r="927" spans="1:9" x14ac:dyDescent="0.3">
      <c r="A927">
        <v>175760281</v>
      </c>
      <c r="B927" s="1">
        <v>44938</v>
      </c>
      <c r="C927" s="1">
        <v>44969</v>
      </c>
      <c r="D927" t="s">
        <v>7</v>
      </c>
      <c r="E927">
        <v>39</v>
      </c>
      <c r="F927" t="s">
        <v>6</v>
      </c>
      <c r="G927" s="19">
        <v>31</v>
      </c>
      <c r="H927" t="s">
        <v>64</v>
      </c>
      <c r="I927">
        <v>2023</v>
      </c>
    </row>
    <row r="928" spans="1:9" x14ac:dyDescent="0.3">
      <c r="A928">
        <v>162095012</v>
      </c>
      <c r="B928" s="1">
        <v>44938</v>
      </c>
      <c r="C928" s="1">
        <v>44951</v>
      </c>
      <c r="D928" t="s">
        <v>7</v>
      </c>
      <c r="E928">
        <v>39</v>
      </c>
      <c r="F928" t="s">
        <v>6</v>
      </c>
      <c r="G928" s="19">
        <v>13</v>
      </c>
      <c r="H928" t="s">
        <v>64</v>
      </c>
      <c r="I928">
        <v>2023</v>
      </c>
    </row>
    <row r="929" spans="1:9" x14ac:dyDescent="0.3">
      <c r="A929">
        <v>179356036</v>
      </c>
      <c r="B929" s="1">
        <v>44938</v>
      </c>
      <c r="C929" s="1">
        <v>44938</v>
      </c>
      <c r="D929" t="s">
        <v>7</v>
      </c>
      <c r="E929">
        <v>39</v>
      </c>
      <c r="F929" t="s">
        <v>6</v>
      </c>
      <c r="G929" s="19">
        <v>0</v>
      </c>
      <c r="H929" t="s">
        <v>64</v>
      </c>
      <c r="I929">
        <v>2023</v>
      </c>
    </row>
    <row r="930" spans="1:9" x14ac:dyDescent="0.3">
      <c r="A930">
        <v>184567432</v>
      </c>
      <c r="B930" s="1">
        <v>44938</v>
      </c>
      <c r="C930" s="1">
        <v>44949</v>
      </c>
      <c r="D930" t="s">
        <v>7</v>
      </c>
      <c r="E930">
        <v>39</v>
      </c>
      <c r="F930" t="s">
        <v>6</v>
      </c>
      <c r="G930" s="19">
        <v>11</v>
      </c>
      <c r="H930" t="s">
        <v>64</v>
      </c>
      <c r="I930">
        <v>2023</v>
      </c>
    </row>
    <row r="931" spans="1:9" x14ac:dyDescent="0.3">
      <c r="A931">
        <v>185503171</v>
      </c>
      <c r="B931" s="1">
        <v>44938</v>
      </c>
      <c r="C931" s="1">
        <v>45112</v>
      </c>
      <c r="D931" t="s">
        <v>7</v>
      </c>
      <c r="E931">
        <v>39</v>
      </c>
      <c r="F931" t="s">
        <v>6</v>
      </c>
      <c r="G931" s="19">
        <v>174</v>
      </c>
      <c r="H931" t="s">
        <v>64</v>
      </c>
      <c r="I931">
        <v>2023</v>
      </c>
    </row>
    <row r="932" spans="1:9" x14ac:dyDescent="0.3">
      <c r="A932">
        <v>171922477</v>
      </c>
      <c r="B932" s="1">
        <v>44938</v>
      </c>
      <c r="C932" s="1">
        <v>45105</v>
      </c>
      <c r="D932" t="s">
        <v>7</v>
      </c>
      <c r="E932">
        <v>39</v>
      </c>
      <c r="F932" t="s">
        <v>6</v>
      </c>
      <c r="G932" s="19">
        <v>167</v>
      </c>
      <c r="H932" t="s">
        <v>64</v>
      </c>
      <c r="I932">
        <v>2023</v>
      </c>
    </row>
    <row r="933" spans="1:9" x14ac:dyDescent="0.3">
      <c r="A933">
        <v>144830936</v>
      </c>
      <c r="B933" s="1">
        <v>44938</v>
      </c>
      <c r="C933" s="1">
        <v>45134</v>
      </c>
      <c r="D933" t="s">
        <v>7</v>
      </c>
      <c r="E933">
        <v>39</v>
      </c>
      <c r="F933" t="s">
        <v>6</v>
      </c>
      <c r="G933" s="19">
        <v>196</v>
      </c>
      <c r="H933" t="s">
        <v>64</v>
      </c>
      <c r="I933">
        <v>2023</v>
      </c>
    </row>
    <row r="934" spans="1:9" x14ac:dyDescent="0.3">
      <c r="A934">
        <v>157474087</v>
      </c>
      <c r="B934" s="1">
        <v>44939</v>
      </c>
      <c r="D934" t="s">
        <v>7</v>
      </c>
      <c r="E934">
        <v>39</v>
      </c>
      <c r="F934" t="s">
        <v>6</v>
      </c>
      <c r="H934" t="s">
        <v>65</v>
      </c>
      <c r="I934">
        <v>2023</v>
      </c>
    </row>
    <row r="935" spans="1:9" x14ac:dyDescent="0.3">
      <c r="A935">
        <v>182350116</v>
      </c>
      <c r="B935" s="1">
        <v>44939</v>
      </c>
      <c r="D935" t="s">
        <v>7</v>
      </c>
      <c r="E935">
        <v>39</v>
      </c>
      <c r="F935" t="s">
        <v>6</v>
      </c>
      <c r="H935" t="s">
        <v>65</v>
      </c>
      <c r="I935">
        <v>2023</v>
      </c>
    </row>
    <row r="936" spans="1:9" x14ac:dyDescent="0.3">
      <c r="A936">
        <v>132867770</v>
      </c>
      <c r="B936" s="1">
        <v>44939</v>
      </c>
      <c r="C936" s="1">
        <v>44940</v>
      </c>
      <c r="D936" t="s">
        <v>7</v>
      </c>
      <c r="E936">
        <v>39</v>
      </c>
      <c r="F936" t="s">
        <v>6</v>
      </c>
      <c r="G936" s="19">
        <v>1</v>
      </c>
      <c r="H936" t="s">
        <v>65</v>
      </c>
      <c r="I936">
        <v>2023</v>
      </c>
    </row>
    <row r="937" spans="1:9" x14ac:dyDescent="0.3">
      <c r="A937">
        <v>185561880</v>
      </c>
      <c r="B937" s="1">
        <v>44939</v>
      </c>
      <c r="C937" s="1">
        <v>44940</v>
      </c>
      <c r="D937" t="s">
        <v>8</v>
      </c>
      <c r="E937">
        <v>39</v>
      </c>
      <c r="F937" t="s">
        <v>6</v>
      </c>
      <c r="G937" s="19">
        <v>1</v>
      </c>
      <c r="H937" t="s">
        <v>65</v>
      </c>
      <c r="I937">
        <v>2023</v>
      </c>
    </row>
    <row r="938" spans="1:9" x14ac:dyDescent="0.3">
      <c r="A938">
        <v>168884196</v>
      </c>
      <c r="B938" s="1">
        <v>44939</v>
      </c>
      <c r="C938" s="1">
        <v>45022</v>
      </c>
      <c r="D938" t="s">
        <v>7</v>
      </c>
      <c r="E938">
        <v>39</v>
      </c>
      <c r="F938" t="s">
        <v>6</v>
      </c>
      <c r="G938" s="19">
        <v>83</v>
      </c>
      <c r="H938" t="s">
        <v>65</v>
      </c>
      <c r="I938">
        <v>2023</v>
      </c>
    </row>
    <row r="939" spans="1:9" x14ac:dyDescent="0.3">
      <c r="A939">
        <v>161269602</v>
      </c>
      <c r="B939" s="1">
        <v>44939</v>
      </c>
      <c r="C939" s="1">
        <v>44977</v>
      </c>
      <c r="D939" t="s">
        <v>7</v>
      </c>
      <c r="E939">
        <v>39</v>
      </c>
      <c r="F939" t="s">
        <v>6</v>
      </c>
      <c r="G939" s="19">
        <v>38</v>
      </c>
      <c r="H939" t="s">
        <v>65</v>
      </c>
      <c r="I939">
        <v>2023</v>
      </c>
    </row>
    <row r="940" spans="1:9" x14ac:dyDescent="0.3">
      <c r="A940">
        <v>185729058</v>
      </c>
      <c r="B940" s="1">
        <v>44940</v>
      </c>
      <c r="C940" s="1">
        <v>45052</v>
      </c>
      <c r="D940" t="s">
        <v>7</v>
      </c>
      <c r="E940">
        <v>39</v>
      </c>
      <c r="F940" t="s">
        <v>6</v>
      </c>
      <c r="G940" s="19">
        <v>112</v>
      </c>
      <c r="H940" t="s">
        <v>66</v>
      </c>
      <c r="I940">
        <v>2023</v>
      </c>
    </row>
    <row r="941" spans="1:9" x14ac:dyDescent="0.3">
      <c r="A941">
        <v>182527446</v>
      </c>
      <c r="B941" s="1">
        <v>44940</v>
      </c>
      <c r="C941" s="1">
        <v>45050</v>
      </c>
      <c r="D941" t="s">
        <v>7</v>
      </c>
      <c r="E941">
        <v>39</v>
      </c>
      <c r="F941" t="s">
        <v>6</v>
      </c>
      <c r="G941" s="19">
        <v>110</v>
      </c>
      <c r="H941" t="s">
        <v>66</v>
      </c>
      <c r="I941">
        <v>2023</v>
      </c>
    </row>
    <row r="942" spans="1:9" x14ac:dyDescent="0.3">
      <c r="A942">
        <v>151217806</v>
      </c>
      <c r="B942" s="1">
        <v>44940</v>
      </c>
      <c r="C942" s="1">
        <v>44990</v>
      </c>
      <c r="D942" t="s">
        <v>7</v>
      </c>
      <c r="E942">
        <v>39</v>
      </c>
      <c r="F942" t="s">
        <v>6</v>
      </c>
      <c r="G942" s="19">
        <v>50</v>
      </c>
      <c r="H942" t="s">
        <v>66</v>
      </c>
      <c r="I942">
        <v>2023</v>
      </c>
    </row>
    <row r="943" spans="1:9" x14ac:dyDescent="0.3">
      <c r="A943">
        <v>181789030</v>
      </c>
      <c r="B943" s="1">
        <v>44940</v>
      </c>
      <c r="C943" s="1">
        <v>44962</v>
      </c>
      <c r="D943" t="s">
        <v>7</v>
      </c>
      <c r="E943">
        <v>39</v>
      </c>
      <c r="F943" t="s">
        <v>6</v>
      </c>
      <c r="G943" s="19">
        <v>22</v>
      </c>
      <c r="H943" t="s">
        <v>66</v>
      </c>
      <c r="I943">
        <v>2023</v>
      </c>
    </row>
    <row r="944" spans="1:9" x14ac:dyDescent="0.3">
      <c r="A944">
        <v>167939138</v>
      </c>
      <c r="B944" s="1">
        <v>44940</v>
      </c>
      <c r="C944" s="1">
        <v>45118</v>
      </c>
      <c r="D944" t="s">
        <v>7</v>
      </c>
      <c r="E944">
        <v>39</v>
      </c>
      <c r="F944" t="s">
        <v>6</v>
      </c>
      <c r="G944" s="19">
        <v>178</v>
      </c>
      <c r="H944" t="s">
        <v>66</v>
      </c>
      <c r="I944">
        <v>2023</v>
      </c>
    </row>
    <row r="945" spans="1:9" x14ac:dyDescent="0.3">
      <c r="A945">
        <v>168531226</v>
      </c>
      <c r="B945" s="1">
        <v>44940</v>
      </c>
      <c r="C945" s="1">
        <v>45151</v>
      </c>
      <c r="D945" t="s">
        <v>7</v>
      </c>
      <c r="E945">
        <v>39</v>
      </c>
      <c r="F945" t="s">
        <v>6</v>
      </c>
      <c r="G945" s="19">
        <v>211</v>
      </c>
      <c r="H945" t="s">
        <v>66</v>
      </c>
      <c r="I945">
        <v>2023</v>
      </c>
    </row>
    <row r="946" spans="1:9" x14ac:dyDescent="0.3">
      <c r="A946">
        <v>183965840</v>
      </c>
      <c r="B946" s="1">
        <v>44941</v>
      </c>
      <c r="D946" t="s">
        <v>7</v>
      </c>
      <c r="E946">
        <v>39</v>
      </c>
      <c r="F946" t="s">
        <v>6</v>
      </c>
      <c r="H946" t="s">
        <v>60</v>
      </c>
      <c r="I946">
        <v>2023</v>
      </c>
    </row>
    <row r="947" spans="1:9" x14ac:dyDescent="0.3">
      <c r="A947">
        <v>185522938</v>
      </c>
      <c r="B947" s="1">
        <v>44941</v>
      </c>
      <c r="C947" s="1">
        <v>45049</v>
      </c>
      <c r="D947" t="s">
        <v>7</v>
      </c>
      <c r="E947">
        <v>39</v>
      </c>
      <c r="F947" t="s">
        <v>6</v>
      </c>
      <c r="G947" s="19">
        <v>108</v>
      </c>
      <c r="H947" t="s">
        <v>60</v>
      </c>
      <c r="I947">
        <v>2023</v>
      </c>
    </row>
    <row r="948" spans="1:9" x14ac:dyDescent="0.3">
      <c r="A948">
        <v>186413122</v>
      </c>
      <c r="B948" s="1">
        <v>44941</v>
      </c>
      <c r="C948" s="1">
        <v>45048</v>
      </c>
      <c r="D948" t="s">
        <v>7</v>
      </c>
      <c r="E948">
        <v>39</v>
      </c>
      <c r="F948" t="s">
        <v>6</v>
      </c>
      <c r="G948" s="19">
        <v>107</v>
      </c>
      <c r="H948" t="s">
        <v>60</v>
      </c>
      <c r="I948">
        <v>2023</v>
      </c>
    </row>
    <row r="949" spans="1:9" x14ac:dyDescent="0.3">
      <c r="A949">
        <v>186481916</v>
      </c>
      <c r="B949" s="1">
        <v>44941</v>
      </c>
      <c r="C949" s="1">
        <v>45032</v>
      </c>
      <c r="D949" t="s">
        <v>7</v>
      </c>
      <c r="E949">
        <v>39</v>
      </c>
      <c r="F949" t="s">
        <v>6</v>
      </c>
      <c r="G949" s="19">
        <v>91</v>
      </c>
      <c r="H949" t="s">
        <v>60</v>
      </c>
      <c r="I949">
        <v>2023</v>
      </c>
    </row>
    <row r="950" spans="1:9" x14ac:dyDescent="0.3">
      <c r="A950">
        <v>186177212</v>
      </c>
      <c r="B950" s="1">
        <v>44941</v>
      </c>
      <c r="C950" s="1">
        <v>44992</v>
      </c>
      <c r="D950" t="s">
        <v>7</v>
      </c>
      <c r="E950">
        <v>39</v>
      </c>
      <c r="F950" t="s">
        <v>6</v>
      </c>
      <c r="G950" s="19">
        <v>51</v>
      </c>
      <c r="H950" t="s">
        <v>60</v>
      </c>
      <c r="I950">
        <v>2023</v>
      </c>
    </row>
    <row r="951" spans="1:9" x14ac:dyDescent="0.3">
      <c r="A951">
        <v>184809175</v>
      </c>
      <c r="B951" s="1">
        <v>44941</v>
      </c>
      <c r="C951" s="1">
        <v>44992</v>
      </c>
      <c r="D951" t="s">
        <v>7</v>
      </c>
      <c r="E951">
        <v>39</v>
      </c>
      <c r="F951" t="s">
        <v>6</v>
      </c>
      <c r="G951" s="19">
        <v>51</v>
      </c>
      <c r="H951" t="s">
        <v>60</v>
      </c>
      <c r="I951">
        <v>2023</v>
      </c>
    </row>
    <row r="952" spans="1:9" x14ac:dyDescent="0.3">
      <c r="A952">
        <v>186690790</v>
      </c>
      <c r="B952" s="1">
        <v>44941</v>
      </c>
      <c r="C952" s="1">
        <v>44997</v>
      </c>
      <c r="D952" t="s">
        <v>7</v>
      </c>
      <c r="E952">
        <v>39</v>
      </c>
      <c r="F952" t="s">
        <v>6</v>
      </c>
      <c r="G952" s="19">
        <v>56</v>
      </c>
      <c r="H952" t="s">
        <v>60</v>
      </c>
      <c r="I952">
        <v>2023</v>
      </c>
    </row>
    <row r="953" spans="1:9" x14ac:dyDescent="0.3">
      <c r="A953">
        <v>185711685</v>
      </c>
      <c r="B953" s="1">
        <v>44941</v>
      </c>
      <c r="C953" s="1">
        <v>44963</v>
      </c>
      <c r="D953" t="s">
        <v>7</v>
      </c>
      <c r="E953">
        <v>39</v>
      </c>
      <c r="F953" t="s">
        <v>6</v>
      </c>
      <c r="G953" s="19">
        <v>22</v>
      </c>
      <c r="H953" t="s">
        <v>60</v>
      </c>
      <c r="I953">
        <v>2023</v>
      </c>
    </row>
    <row r="954" spans="1:9" x14ac:dyDescent="0.3">
      <c r="A954">
        <v>179509273</v>
      </c>
      <c r="B954" s="1">
        <v>44941</v>
      </c>
      <c r="C954" s="1">
        <v>45107</v>
      </c>
      <c r="D954" t="s">
        <v>7</v>
      </c>
      <c r="E954">
        <v>39</v>
      </c>
      <c r="F954" t="s">
        <v>6</v>
      </c>
      <c r="G954" s="19">
        <v>166</v>
      </c>
      <c r="H954" t="s">
        <v>60</v>
      </c>
      <c r="I954">
        <v>2023</v>
      </c>
    </row>
    <row r="955" spans="1:9" x14ac:dyDescent="0.3">
      <c r="A955">
        <v>186770408</v>
      </c>
      <c r="B955" s="1">
        <v>44942</v>
      </c>
      <c r="D955" t="s">
        <v>7</v>
      </c>
      <c r="E955">
        <v>39</v>
      </c>
      <c r="F955" t="s">
        <v>6</v>
      </c>
      <c r="H955" t="s">
        <v>61</v>
      </c>
      <c r="I955">
        <v>2023</v>
      </c>
    </row>
    <row r="956" spans="1:9" x14ac:dyDescent="0.3">
      <c r="A956">
        <v>181025165</v>
      </c>
      <c r="B956" s="1">
        <v>44942</v>
      </c>
      <c r="D956" t="s">
        <v>7</v>
      </c>
      <c r="E956">
        <v>39</v>
      </c>
      <c r="F956" t="s">
        <v>6</v>
      </c>
      <c r="H956" t="s">
        <v>61</v>
      </c>
      <c r="I956">
        <v>2023</v>
      </c>
    </row>
    <row r="957" spans="1:9" x14ac:dyDescent="0.3">
      <c r="A957">
        <v>157919304</v>
      </c>
      <c r="B957" s="1">
        <v>44942</v>
      </c>
      <c r="C957" s="1">
        <v>45062</v>
      </c>
      <c r="D957" t="s">
        <v>7</v>
      </c>
      <c r="E957">
        <v>39</v>
      </c>
      <c r="F957" t="s">
        <v>6</v>
      </c>
      <c r="G957" s="19">
        <v>120</v>
      </c>
      <c r="H957" t="s">
        <v>61</v>
      </c>
      <c r="I957">
        <v>2023</v>
      </c>
    </row>
    <row r="958" spans="1:9" x14ac:dyDescent="0.3">
      <c r="A958">
        <v>187051266</v>
      </c>
      <c r="B958" s="1">
        <v>44942</v>
      </c>
      <c r="C958" s="1">
        <v>45077</v>
      </c>
      <c r="D958" t="s">
        <v>7</v>
      </c>
      <c r="E958">
        <v>39</v>
      </c>
      <c r="F958" t="s">
        <v>6</v>
      </c>
      <c r="G958" s="19">
        <v>135</v>
      </c>
      <c r="H958" t="s">
        <v>61</v>
      </c>
      <c r="I958">
        <v>2023</v>
      </c>
    </row>
    <row r="959" spans="1:9" x14ac:dyDescent="0.3">
      <c r="A959">
        <v>179713052</v>
      </c>
      <c r="B959" s="1">
        <v>44942</v>
      </c>
      <c r="C959" s="1">
        <v>45031</v>
      </c>
      <c r="D959" t="s">
        <v>7</v>
      </c>
      <c r="E959">
        <v>39</v>
      </c>
      <c r="F959" t="s">
        <v>6</v>
      </c>
      <c r="G959" s="19">
        <v>89</v>
      </c>
      <c r="H959" t="s">
        <v>61</v>
      </c>
      <c r="I959">
        <v>2023</v>
      </c>
    </row>
    <row r="960" spans="1:9" x14ac:dyDescent="0.3">
      <c r="A960">
        <v>185431487</v>
      </c>
      <c r="B960" s="1">
        <v>44942</v>
      </c>
      <c r="C960" s="1">
        <v>45042</v>
      </c>
      <c r="D960" t="s">
        <v>7</v>
      </c>
      <c r="E960">
        <v>39</v>
      </c>
      <c r="F960" t="s">
        <v>6</v>
      </c>
      <c r="G960" s="19">
        <v>100</v>
      </c>
      <c r="H960" t="s">
        <v>61</v>
      </c>
      <c r="I960">
        <v>2023</v>
      </c>
    </row>
    <row r="961" spans="1:9" x14ac:dyDescent="0.3">
      <c r="A961">
        <v>157929345</v>
      </c>
      <c r="B961" s="1">
        <v>44942</v>
      </c>
      <c r="C961" s="1">
        <v>45023</v>
      </c>
      <c r="D961" t="s">
        <v>7</v>
      </c>
      <c r="E961">
        <v>39</v>
      </c>
      <c r="F961" t="s">
        <v>6</v>
      </c>
      <c r="G961" s="19">
        <v>81</v>
      </c>
      <c r="H961" t="s">
        <v>61</v>
      </c>
      <c r="I961">
        <v>2023</v>
      </c>
    </row>
    <row r="962" spans="1:9" x14ac:dyDescent="0.3">
      <c r="A962">
        <v>154087095</v>
      </c>
      <c r="B962" s="1">
        <v>44942</v>
      </c>
      <c r="C962" s="1">
        <v>44998</v>
      </c>
      <c r="D962" t="s">
        <v>7</v>
      </c>
      <c r="E962">
        <v>39</v>
      </c>
      <c r="F962" t="s">
        <v>6</v>
      </c>
      <c r="G962" s="19">
        <v>56</v>
      </c>
      <c r="H962" t="s">
        <v>61</v>
      </c>
      <c r="I962">
        <v>2023</v>
      </c>
    </row>
    <row r="963" spans="1:9" x14ac:dyDescent="0.3">
      <c r="A963">
        <v>186674235</v>
      </c>
      <c r="B963" s="1">
        <v>44942</v>
      </c>
      <c r="C963" s="1">
        <v>44999</v>
      </c>
      <c r="D963" t="s">
        <v>7</v>
      </c>
      <c r="E963">
        <v>39</v>
      </c>
      <c r="F963" t="s">
        <v>6</v>
      </c>
      <c r="G963" s="19">
        <v>57</v>
      </c>
      <c r="H963" t="s">
        <v>61</v>
      </c>
      <c r="I963">
        <v>2023</v>
      </c>
    </row>
    <row r="964" spans="1:9" x14ac:dyDescent="0.3">
      <c r="A964">
        <v>182656156</v>
      </c>
      <c r="B964" s="1">
        <v>44942</v>
      </c>
      <c r="C964" s="1">
        <v>44972</v>
      </c>
      <c r="D964" t="s">
        <v>7</v>
      </c>
      <c r="E964">
        <v>39</v>
      </c>
      <c r="F964" t="s">
        <v>6</v>
      </c>
      <c r="G964" s="19">
        <v>30</v>
      </c>
      <c r="H964" t="s">
        <v>61</v>
      </c>
      <c r="I964">
        <v>2023</v>
      </c>
    </row>
    <row r="965" spans="1:9" x14ac:dyDescent="0.3">
      <c r="A965">
        <v>170319875</v>
      </c>
      <c r="B965" s="1">
        <v>44942</v>
      </c>
      <c r="C965" s="1">
        <v>44942</v>
      </c>
      <c r="D965" t="s">
        <v>7</v>
      </c>
      <c r="E965">
        <v>39</v>
      </c>
      <c r="F965" t="s">
        <v>6</v>
      </c>
      <c r="G965" s="19">
        <v>0</v>
      </c>
      <c r="H965" t="s">
        <v>61</v>
      </c>
      <c r="I965">
        <v>2023</v>
      </c>
    </row>
    <row r="966" spans="1:9" x14ac:dyDescent="0.3">
      <c r="A966">
        <v>188226033</v>
      </c>
      <c r="B966" s="1">
        <v>44943</v>
      </c>
      <c r="D966" t="s">
        <v>8</v>
      </c>
      <c r="E966">
        <v>39</v>
      </c>
      <c r="F966" t="s">
        <v>6</v>
      </c>
      <c r="H966" t="s">
        <v>62</v>
      </c>
      <c r="I966">
        <v>2023</v>
      </c>
    </row>
    <row r="967" spans="1:9" x14ac:dyDescent="0.3">
      <c r="A967">
        <v>188137320</v>
      </c>
      <c r="B967" s="1">
        <v>44943</v>
      </c>
      <c r="D967" t="s">
        <v>8</v>
      </c>
      <c r="E967">
        <v>39</v>
      </c>
      <c r="F967" t="s">
        <v>6</v>
      </c>
      <c r="H967" t="s">
        <v>62</v>
      </c>
      <c r="I967">
        <v>2023</v>
      </c>
    </row>
    <row r="968" spans="1:9" x14ac:dyDescent="0.3">
      <c r="A968">
        <v>163220556</v>
      </c>
      <c r="B968" s="1">
        <v>44943</v>
      </c>
      <c r="C968" s="1">
        <v>44944</v>
      </c>
      <c r="D968" t="s">
        <v>7</v>
      </c>
      <c r="E968">
        <v>39</v>
      </c>
      <c r="F968" t="s">
        <v>6</v>
      </c>
      <c r="G968" s="19">
        <v>1</v>
      </c>
      <c r="H968" t="s">
        <v>62</v>
      </c>
      <c r="I968">
        <v>2023</v>
      </c>
    </row>
    <row r="969" spans="1:9" x14ac:dyDescent="0.3">
      <c r="A969">
        <v>182960960</v>
      </c>
      <c r="B969" s="1">
        <v>44943</v>
      </c>
      <c r="C969" s="1">
        <v>45009</v>
      </c>
      <c r="D969" t="s">
        <v>7</v>
      </c>
      <c r="E969">
        <v>39</v>
      </c>
      <c r="F969" t="s">
        <v>6</v>
      </c>
      <c r="G969" s="19">
        <v>66</v>
      </c>
      <c r="H969" t="s">
        <v>62</v>
      </c>
      <c r="I969">
        <v>2023</v>
      </c>
    </row>
    <row r="970" spans="1:9" x14ac:dyDescent="0.3">
      <c r="A970">
        <v>188175982</v>
      </c>
      <c r="B970" s="1">
        <v>44943</v>
      </c>
      <c r="C970" s="1">
        <v>44974</v>
      </c>
      <c r="D970" t="s">
        <v>7</v>
      </c>
      <c r="E970">
        <v>39</v>
      </c>
      <c r="F970" t="s">
        <v>6</v>
      </c>
      <c r="G970" s="19">
        <v>31</v>
      </c>
      <c r="H970" t="s">
        <v>62</v>
      </c>
      <c r="I970">
        <v>2023</v>
      </c>
    </row>
    <row r="971" spans="1:9" x14ac:dyDescent="0.3">
      <c r="A971">
        <v>169729060</v>
      </c>
      <c r="B971" s="1">
        <v>44943</v>
      </c>
      <c r="C971" s="1">
        <v>44976</v>
      </c>
      <c r="D971" t="s">
        <v>7</v>
      </c>
      <c r="E971">
        <v>39</v>
      </c>
      <c r="F971" t="s">
        <v>6</v>
      </c>
      <c r="G971" s="19">
        <v>33</v>
      </c>
      <c r="H971" t="s">
        <v>62</v>
      </c>
      <c r="I971">
        <v>2023</v>
      </c>
    </row>
    <row r="972" spans="1:9" x14ac:dyDescent="0.3">
      <c r="A972">
        <v>186841270</v>
      </c>
      <c r="B972" s="1">
        <v>44943</v>
      </c>
      <c r="C972" s="1">
        <v>44981</v>
      </c>
      <c r="D972" t="s">
        <v>7</v>
      </c>
      <c r="E972">
        <v>39</v>
      </c>
      <c r="F972" t="s">
        <v>6</v>
      </c>
      <c r="G972" s="19">
        <v>38</v>
      </c>
      <c r="H972" t="s">
        <v>62</v>
      </c>
      <c r="I972">
        <v>2023</v>
      </c>
    </row>
    <row r="973" spans="1:9" x14ac:dyDescent="0.3">
      <c r="A973">
        <v>154563993</v>
      </c>
      <c r="B973" s="1">
        <v>44943</v>
      </c>
      <c r="C973" s="1">
        <v>44982</v>
      </c>
      <c r="D973" t="s">
        <v>7</v>
      </c>
      <c r="E973">
        <v>39</v>
      </c>
      <c r="F973" t="s">
        <v>6</v>
      </c>
      <c r="G973" s="19">
        <v>39</v>
      </c>
      <c r="H973" t="s">
        <v>62</v>
      </c>
      <c r="I973">
        <v>2023</v>
      </c>
    </row>
    <row r="974" spans="1:9" x14ac:dyDescent="0.3">
      <c r="A974">
        <v>159767828</v>
      </c>
      <c r="B974" s="1">
        <v>44943</v>
      </c>
      <c r="C974" s="1">
        <v>44981</v>
      </c>
      <c r="D974" t="s">
        <v>7</v>
      </c>
      <c r="E974">
        <v>39</v>
      </c>
      <c r="F974" t="s">
        <v>6</v>
      </c>
      <c r="G974" s="19">
        <v>38</v>
      </c>
      <c r="H974" t="s">
        <v>62</v>
      </c>
      <c r="I974">
        <v>2023</v>
      </c>
    </row>
    <row r="975" spans="1:9" x14ac:dyDescent="0.3">
      <c r="A975">
        <v>183186612</v>
      </c>
      <c r="B975" s="1">
        <v>44943</v>
      </c>
      <c r="C975" s="1">
        <v>45135</v>
      </c>
      <c r="D975" t="s">
        <v>7</v>
      </c>
      <c r="E975">
        <v>39</v>
      </c>
      <c r="F975" t="s">
        <v>6</v>
      </c>
      <c r="G975" s="19">
        <v>192</v>
      </c>
      <c r="H975" t="s">
        <v>62</v>
      </c>
      <c r="I975">
        <v>2023</v>
      </c>
    </row>
    <row r="976" spans="1:9" x14ac:dyDescent="0.3">
      <c r="A976">
        <v>128603349</v>
      </c>
      <c r="B976" s="1">
        <v>44944</v>
      </c>
      <c r="D976" t="s">
        <v>7</v>
      </c>
      <c r="E976">
        <v>39</v>
      </c>
      <c r="F976" t="s">
        <v>6</v>
      </c>
      <c r="H976" t="s">
        <v>63</v>
      </c>
      <c r="I976">
        <v>2023</v>
      </c>
    </row>
    <row r="977" spans="1:9" x14ac:dyDescent="0.3">
      <c r="A977">
        <v>183736457</v>
      </c>
      <c r="B977" s="1">
        <v>44944</v>
      </c>
      <c r="C977" s="1">
        <v>44945</v>
      </c>
      <c r="D977" t="s">
        <v>8</v>
      </c>
      <c r="E977">
        <v>39</v>
      </c>
      <c r="F977" t="s">
        <v>6</v>
      </c>
      <c r="G977" s="19">
        <v>1</v>
      </c>
      <c r="H977" t="s">
        <v>63</v>
      </c>
      <c r="I977">
        <v>2023</v>
      </c>
    </row>
    <row r="978" spans="1:9" x14ac:dyDescent="0.3">
      <c r="A978">
        <v>188115641</v>
      </c>
      <c r="B978" s="1">
        <v>44944</v>
      </c>
      <c r="C978" s="1">
        <v>44944</v>
      </c>
      <c r="D978" t="s">
        <v>8</v>
      </c>
      <c r="E978">
        <v>39</v>
      </c>
      <c r="F978" t="s">
        <v>6</v>
      </c>
      <c r="G978" s="19">
        <v>0</v>
      </c>
      <c r="H978" t="s">
        <v>63</v>
      </c>
      <c r="I978">
        <v>2023</v>
      </c>
    </row>
    <row r="979" spans="1:9" x14ac:dyDescent="0.3">
      <c r="A979">
        <v>188460699</v>
      </c>
      <c r="B979" s="1">
        <v>44944</v>
      </c>
      <c r="C979" s="1">
        <v>44944</v>
      </c>
      <c r="D979" t="s">
        <v>8</v>
      </c>
      <c r="E979">
        <v>39</v>
      </c>
      <c r="F979" t="s">
        <v>6</v>
      </c>
      <c r="G979" s="19">
        <v>0</v>
      </c>
      <c r="H979" t="s">
        <v>63</v>
      </c>
      <c r="I979">
        <v>2023</v>
      </c>
    </row>
    <row r="980" spans="1:9" x14ac:dyDescent="0.3">
      <c r="A980">
        <v>138228332</v>
      </c>
      <c r="B980" s="1">
        <v>44944</v>
      </c>
      <c r="C980" s="1">
        <v>44982</v>
      </c>
      <c r="D980" t="s">
        <v>7</v>
      </c>
      <c r="E980">
        <v>39</v>
      </c>
      <c r="F980" t="s">
        <v>6</v>
      </c>
      <c r="G980" s="19">
        <v>38</v>
      </c>
      <c r="H980" t="s">
        <v>63</v>
      </c>
      <c r="I980">
        <v>2023</v>
      </c>
    </row>
    <row r="981" spans="1:9" x14ac:dyDescent="0.3">
      <c r="A981">
        <v>184143564</v>
      </c>
      <c r="B981" s="1">
        <v>44944</v>
      </c>
      <c r="C981" s="1">
        <v>45068</v>
      </c>
      <c r="D981" t="s">
        <v>7</v>
      </c>
      <c r="E981">
        <v>39</v>
      </c>
      <c r="F981" t="s">
        <v>6</v>
      </c>
      <c r="G981" s="19">
        <v>124</v>
      </c>
      <c r="H981" t="s">
        <v>63</v>
      </c>
      <c r="I981">
        <v>2023</v>
      </c>
    </row>
    <row r="982" spans="1:9" x14ac:dyDescent="0.3">
      <c r="A982">
        <v>179508142</v>
      </c>
      <c r="B982" s="1">
        <v>44944</v>
      </c>
      <c r="C982" s="1">
        <v>45090</v>
      </c>
      <c r="D982" t="s">
        <v>7</v>
      </c>
      <c r="E982">
        <v>39</v>
      </c>
      <c r="F982" t="s">
        <v>6</v>
      </c>
      <c r="G982" s="19">
        <v>146</v>
      </c>
      <c r="H982" t="s">
        <v>63</v>
      </c>
      <c r="I982">
        <v>2023</v>
      </c>
    </row>
    <row r="983" spans="1:9" x14ac:dyDescent="0.3">
      <c r="A983">
        <v>188269607</v>
      </c>
      <c r="B983" s="1">
        <v>44944</v>
      </c>
      <c r="C983" s="1">
        <v>45032</v>
      </c>
      <c r="D983" t="s">
        <v>7</v>
      </c>
      <c r="E983">
        <v>39</v>
      </c>
      <c r="F983" t="s">
        <v>6</v>
      </c>
      <c r="G983" s="19">
        <v>88</v>
      </c>
      <c r="H983" t="s">
        <v>63</v>
      </c>
      <c r="I983">
        <v>2023</v>
      </c>
    </row>
    <row r="984" spans="1:9" x14ac:dyDescent="0.3">
      <c r="A984">
        <v>181890100</v>
      </c>
      <c r="B984" s="1">
        <v>44944</v>
      </c>
      <c r="C984" s="1">
        <v>45011</v>
      </c>
      <c r="D984" t="s">
        <v>7</v>
      </c>
      <c r="E984">
        <v>39</v>
      </c>
      <c r="F984" t="s">
        <v>6</v>
      </c>
      <c r="G984" s="19">
        <v>67</v>
      </c>
      <c r="H984" t="s">
        <v>63</v>
      </c>
      <c r="I984">
        <v>2023</v>
      </c>
    </row>
    <row r="985" spans="1:9" x14ac:dyDescent="0.3">
      <c r="A985">
        <v>185642830</v>
      </c>
      <c r="B985" s="1">
        <v>44944</v>
      </c>
      <c r="C985" s="1">
        <v>44999</v>
      </c>
      <c r="D985" t="s">
        <v>7</v>
      </c>
      <c r="E985">
        <v>39</v>
      </c>
      <c r="F985" t="s">
        <v>6</v>
      </c>
      <c r="G985" s="19">
        <v>55</v>
      </c>
      <c r="H985" t="s">
        <v>63</v>
      </c>
      <c r="I985">
        <v>2023</v>
      </c>
    </row>
    <row r="986" spans="1:9" x14ac:dyDescent="0.3">
      <c r="A986">
        <v>152223051</v>
      </c>
      <c r="B986" s="1">
        <v>44944</v>
      </c>
      <c r="C986" s="1">
        <v>44982</v>
      </c>
      <c r="D986" t="s">
        <v>7</v>
      </c>
      <c r="E986">
        <v>39</v>
      </c>
      <c r="F986" t="s">
        <v>6</v>
      </c>
      <c r="G986" s="19">
        <v>38</v>
      </c>
      <c r="H986" t="s">
        <v>63</v>
      </c>
      <c r="I986">
        <v>2023</v>
      </c>
    </row>
    <row r="987" spans="1:9" x14ac:dyDescent="0.3">
      <c r="A987">
        <v>156067850</v>
      </c>
      <c r="B987" s="1">
        <v>44944</v>
      </c>
      <c r="C987" s="1">
        <v>44975</v>
      </c>
      <c r="D987" t="s">
        <v>7</v>
      </c>
      <c r="E987">
        <v>39</v>
      </c>
      <c r="F987" t="s">
        <v>6</v>
      </c>
      <c r="G987" s="19">
        <v>31</v>
      </c>
      <c r="H987" t="s">
        <v>63</v>
      </c>
      <c r="I987">
        <v>2023</v>
      </c>
    </row>
    <row r="988" spans="1:9" x14ac:dyDescent="0.3">
      <c r="A988">
        <v>188701816</v>
      </c>
      <c r="B988" s="1">
        <v>44944</v>
      </c>
      <c r="C988" s="1">
        <v>44974</v>
      </c>
      <c r="D988" t="s">
        <v>7</v>
      </c>
      <c r="E988">
        <v>39</v>
      </c>
      <c r="F988" t="s">
        <v>6</v>
      </c>
      <c r="G988" s="19">
        <v>30</v>
      </c>
      <c r="H988" t="s">
        <v>63</v>
      </c>
      <c r="I988">
        <v>2023</v>
      </c>
    </row>
    <row r="989" spans="1:9" x14ac:dyDescent="0.3">
      <c r="A989">
        <v>188133192</v>
      </c>
      <c r="B989" s="1">
        <v>44944</v>
      </c>
      <c r="C989" s="1">
        <v>44976</v>
      </c>
      <c r="D989" t="s">
        <v>7</v>
      </c>
      <c r="E989">
        <v>39</v>
      </c>
      <c r="F989" t="s">
        <v>6</v>
      </c>
      <c r="G989" s="19">
        <v>32</v>
      </c>
      <c r="H989" t="s">
        <v>63</v>
      </c>
      <c r="I989">
        <v>2023</v>
      </c>
    </row>
    <row r="990" spans="1:9" x14ac:dyDescent="0.3">
      <c r="A990">
        <v>183936068</v>
      </c>
      <c r="B990" s="1">
        <v>44944</v>
      </c>
      <c r="C990" s="1">
        <v>45110</v>
      </c>
      <c r="D990" t="s">
        <v>7</v>
      </c>
      <c r="E990">
        <v>39</v>
      </c>
      <c r="F990" t="s">
        <v>6</v>
      </c>
      <c r="G990" s="19">
        <v>166</v>
      </c>
      <c r="H990" t="s">
        <v>63</v>
      </c>
      <c r="I990">
        <v>2023</v>
      </c>
    </row>
    <row r="991" spans="1:9" x14ac:dyDescent="0.3">
      <c r="A991">
        <v>188119778</v>
      </c>
      <c r="B991" s="1">
        <v>44944</v>
      </c>
      <c r="C991" s="1">
        <v>45095</v>
      </c>
      <c r="D991" t="s">
        <v>7</v>
      </c>
      <c r="E991">
        <v>39</v>
      </c>
      <c r="F991" t="s">
        <v>6</v>
      </c>
      <c r="G991" s="19">
        <v>151</v>
      </c>
      <c r="H991" t="s">
        <v>63</v>
      </c>
      <c r="I991">
        <v>2023</v>
      </c>
    </row>
    <row r="992" spans="1:9" x14ac:dyDescent="0.3">
      <c r="A992">
        <v>189410056</v>
      </c>
      <c r="B992" s="1">
        <v>44945</v>
      </c>
      <c r="D992" t="s">
        <v>7</v>
      </c>
      <c r="E992">
        <v>39</v>
      </c>
      <c r="F992" t="s">
        <v>6</v>
      </c>
      <c r="H992" t="s">
        <v>64</v>
      </c>
      <c r="I992">
        <v>2023</v>
      </c>
    </row>
    <row r="993" spans="1:9" x14ac:dyDescent="0.3">
      <c r="A993">
        <v>184970659</v>
      </c>
      <c r="B993" s="1">
        <v>44945</v>
      </c>
      <c r="D993" t="s">
        <v>7</v>
      </c>
      <c r="E993">
        <v>39</v>
      </c>
      <c r="F993" t="s">
        <v>6</v>
      </c>
      <c r="H993" t="s">
        <v>64</v>
      </c>
      <c r="I993">
        <v>2023</v>
      </c>
    </row>
    <row r="994" spans="1:9" x14ac:dyDescent="0.3">
      <c r="A994">
        <v>148476648</v>
      </c>
      <c r="B994" s="1">
        <v>44945</v>
      </c>
      <c r="C994" s="1">
        <v>45058</v>
      </c>
      <c r="D994" t="s">
        <v>7</v>
      </c>
      <c r="E994">
        <v>39</v>
      </c>
      <c r="F994" t="s">
        <v>6</v>
      </c>
      <c r="G994" s="19">
        <v>113</v>
      </c>
      <c r="H994" t="s">
        <v>64</v>
      </c>
      <c r="I994">
        <v>2023</v>
      </c>
    </row>
    <row r="995" spans="1:9" x14ac:dyDescent="0.3">
      <c r="A995">
        <v>189289885</v>
      </c>
      <c r="B995" s="1">
        <v>44945</v>
      </c>
      <c r="C995" s="1">
        <v>45036</v>
      </c>
      <c r="D995" t="s">
        <v>7</v>
      </c>
      <c r="E995">
        <v>39</v>
      </c>
      <c r="F995" t="s">
        <v>6</v>
      </c>
      <c r="G995" s="19">
        <v>91</v>
      </c>
      <c r="H995" t="s">
        <v>64</v>
      </c>
      <c r="I995">
        <v>2023</v>
      </c>
    </row>
    <row r="996" spans="1:9" x14ac:dyDescent="0.3">
      <c r="A996">
        <v>150442182</v>
      </c>
      <c r="B996" s="1">
        <v>44945</v>
      </c>
      <c r="C996" s="1">
        <v>45004</v>
      </c>
      <c r="D996" t="s">
        <v>7</v>
      </c>
      <c r="E996">
        <v>39</v>
      </c>
      <c r="F996" t="s">
        <v>6</v>
      </c>
      <c r="G996" s="19">
        <v>59</v>
      </c>
      <c r="H996" t="s">
        <v>64</v>
      </c>
      <c r="I996">
        <v>2023</v>
      </c>
    </row>
    <row r="997" spans="1:9" x14ac:dyDescent="0.3">
      <c r="A997">
        <v>184826230</v>
      </c>
      <c r="B997" s="1">
        <v>44945</v>
      </c>
      <c r="C997" s="1">
        <v>44972</v>
      </c>
      <c r="D997" t="s">
        <v>7</v>
      </c>
      <c r="E997">
        <v>39</v>
      </c>
      <c r="F997" t="s">
        <v>6</v>
      </c>
      <c r="G997" s="19">
        <v>27</v>
      </c>
      <c r="H997" t="s">
        <v>64</v>
      </c>
      <c r="I997">
        <v>2023</v>
      </c>
    </row>
    <row r="998" spans="1:9" x14ac:dyDescent="0.3">
      <c r="A998">
        <v>184786342</v>
      </c>
      <c r="B998" s="1">
        <v>44945</v>
      </c>
      <c r="C998" s="1">
        <v>44945</v>
      </c>
      <c r="D998" t="s">
        <v>7</v>
      </c>
      <c r="E998">
        <v>39</v>
      </c>
      <c r="F998" t="s">
        <v>6</v>
      </c>
      <c r="G998" s="19">
        <v>0</v>
      </c>
      <c r="H998" t="s">
        <v>64</v>
      </c>
      <c r="I998">
        <v>2023</v>
      </c>
    </row>
    <row r="999" spans="1:9" x14ac:dyDescent="0.3">
      <c r="A999">
        <v>181565760</v>
      </c>
      <c r="B999" s="1">
        <v>44945</v>
      </c>
      <c r="C999" s="1">
        <v>44952</v>
      </c>
      <c r="D999" t="s">
        <v>7</v>
      </c>
      <c r="E999">
        <v>39</v>
      </c>
      <c r="F999" t="s">
        <v>6</v>
      </c>
      <c r="G999" s="19">
        <v>7</v>
      </c>
      <c r="H999" t="s">
        <v>64</v>
      </c>
      <c r="I999">
        <v>2023</v>
      </c>
    </row>
    <row r="1000" spans="1:9" x14ac:dyDescent="0.3">
      <c r="A1000">
        <v>189278478</v>
      </c>
      <c r="B1000" s="1">
        <v>44946</v>
      </c>
      <c r="D1000" t="s">
        <v>7</v>
      </c>
      <c r="E1000">
        <v>39</v>
      </c>
      <c r="F1000" t="s">
        <v>6</v>
      </c>
      <c r="H1000" t="s">
        <v>65</v>
      </c>
      <c r="I1000">
        <v>2023</v>
      </c>
    </row>
    <row r="1001" spans="1:9" x14ac:dyDescent="0.3">
      <c r="A1001">
        <v>184066428</v>
      </c>
      <c r="B1001" s="1">
        <v>44946</v>
      </c>
      <c r="D1001" t="s">
        <v>7</v>
      </c>
      <c r="E1001">
        <v>39</v>
      </c>
      <c r="F1001" t="s">
        <v>6</v>
      </c>
      <c r="H1001" t="s">
        <v>65</v>
      </c>
      <c r="I1001">
        <v>2023</v>
      </c>
    </row>
    <row r="1002" spans="1:9" x14ac:dyDescent="0.3">
      <c r="A1002">
        <v>135771077</v>
      </c>
      <c r="B1002" s="1">
        <v>44946</v>
      </c>
      <c r="D1002" t="s">
        <v>7</v>
      </c>
      <c r="E1002">
        <v>39</v>
      </c>
      <c r="F1002" t="s">
        <v>6</v>
      </c>
      <c r="H1002" t="s">
        <v>65</v>
      </c>
      <c r="I1002">
        <v>2023</v>
      </c>
    </row>
    <row r="1003" spans="1:9" x14ac:dyDescent="0.3">
      <c r="A1003">
        <v>184831280</v>
      </c>
      <c r="B1003" s="1">
        <v>44946</v>
      </c>
      <c r="C1003" s="1">
        <v>45055</v>
      </c>
      <c r="D1003" t="s">
        <v>7</v>
      </c>
      <c r="E1003">
        <v>39</v>
      </c>
      <c r="F1003" t="s">
        <v>6</v>
      </c>
      <c r="G1003" s="19">
        <v>109</v>
      </c>
      <c r="H1003" t="s">
        <v>65</v>
      </c>
      <c r="I1003">
        <v>2023</v>
      </c>
    </row>
    <row r="1004" spans="1:9" x14ac:dyDescent="0.3">
      <c r="A1004">
        <v>188828652</v>
      </c>
      <c r="B1004" s="1">
        <v>44946</v>
      </c>
      <c r="C1004" s="1">
        <v>45047</v>
      </c>
      <c r="D1004" t="s">
        <v>7</v>
      </c>
      <c r="E1004">
        <v>39</v>
      </c>
      <c r="F1004" t="s">
        <v>6</v>
      </c>
      <c r="G1004" s="19">
        <v>101</v>
      </c>
      <c r="H1004" t="s">
        <v>65</v>
      </c>
      <c r="I1004">
        <v>2023</v>
      </c>
    </row>
    <row r="1005" spans="1:9" x14ac:dyDescent="0.3">
      <c r="A1005">
        <v>188666673</v>
      </c>
      <c r="B1005" s="1">
        <v>44946</v>
      </c>
      <c r="C1005" s="1">
        <v>44993</v>
      </c>
      <c r="D1005" t="s">
        <v>7</v>
      </c>
      <c r="E1005">
        <v>39</v>
      </c>
      <c r="F1005" t="s">
        <v>6</v>
      </c>
      <c r="G1005" s="19">
        <v>47</v>
      </c>
      <c r="H1005" t="s">
        <v>65</v>
      </c>
      <c r="I1005">
        <v>2023</v>
      </c>
    </row>
    <row r="1006" spans="1:9" x14ac:dyDescent="0.3">
      <c r="A1006">
        <v>189880452</v>
      </c>
      <c r="B1006" s="1">
        <v>44946</v>
      </c>
      <c r="C1006" s="1">
        <v>44976</v>
      </c>
      <c r="D1006" t="s">
        <v>7</v>
      </c>
      <c r="E1006">
        <v>39</v>
      </c>
      <c r="F1006" t="s">
        <v>6</v>
      </c>
      <c r="G1006" s="19">
        <v>30</v>
      </c>
      <c r="H1006" t="s">
        <v>65</v>
      </c>
      <c r="I1006">
        <v>2023</v>
      </c>
    </row>
    <row r="1007" spans="1:9" x14ac:dyDescent="0.3">
      <c r="A1007">
        <v>160986271</v>
      </c>
      <c r="B1007" s="1">
        <v>44946</v>
      </c>
      <c r="C1007" s="1">
        <v>44984</v>
      </c>
      <c r="D1007" t="s">
        <v>7</v>
      </c>
      <c r="E1007">
        <v>39</v>
      </c>
      <c r="F1007" t="s">
        <v>6</v>
      </c>
      <c r="G1007" s="19">
        <v>38</v>
      </c>
      <c r="H1007" t="s">
        <v>65</v>
      </c>
      <c r="I1007">
        <v>2023</v>
      </c>
    </row>
    <row r="1008" spans="1:9" x14ac:dyDescent="0.3">
      <c r="A1008">
        <v>187895888</v>
      </c>
      <c r="B1008" s="1">
        <v>44946</v>
      </c>
      <c r="C1008" s="1">
        <v>44970</v>
      </c>
      <c r="D1008" t="s">
        <v>7</v>
      </c>
      <c r="E1008">
        <v>39</v>
      </c>
      <c r="F1008" t="s">
        <v>6</v>
      </c>
      <c r="G1008" s="19">
        <v>24</v>
      </c>
      <c r="H1008" t="s">
        <v>65</v>
      </c>
      <c r="I1008">
        <v>2023</v>
      </c>
    </row>
    <row r="1009" spans="1:9" x14ac:dyDescent="0.3">
      <c r="A1009">
        <v>190871376</v>
      </c>
      <c r="B1009" s="1">
        <v>44947</v>
      </c>
      <c r="D1009" t="s">
        <v>7</v>
      </c>
      <c r="E1009">
        <v>39</v>
      </c>
      <c r="F1009" t="s">
        <v>6</v>
      </c>
      <c r="H1009" t="s">
        <v>66</v>
      </c>
      <c r="I1009">
        <v>2023</v>
      </c>
    </row>
    <row r="1010" spans="1:9" x14ac:dyDescent="0.3">
      <c r="A1010">
        <v>166750222</v>
      </c>
      <c r="B1010" s="1">
        <v>44947</v>
      </c>
      <c r="C1010" s="1">
        <v>45048</v>
      </c>
      <c r="D1010" t="s">
        <v>7</v>
      </c>
      <c r="E1010">
        <v>39</v>
      </c>
      <c r="F1010" t="s">
        <v>6</v>
      </c>
      <c r="G1010" s="19">
        <v>101</v>
      </c>
      <c r="H1010" t="s">
        <v>66</v>
      </c>
      <c r="I1010">
        <v>2023</v>
      </c>
    </row>
    <row r="1011" spans="1:9" x14ac:dyDescent="0.3">
      <c r="A1011">
        <v>189360536</v>
      </c>
      <c r="B1011" s="1">
        <v>44947</v>
      </c>
      <c r="C1011" s="1">
        <v>45041</v>
      </c>
      <c r="D1011" t="s">
        <v>7</v>
      </c>
      <c r="E1011">
        <v>39</v>
      </c>
      <c r="F1011" t="s">
        <v>6</v>
      </c>
      <c r="G1011" s="19">
        <v>94</v>
      </c>
      <c r="H1011" t="s">
        <v>66</v>
      </c>
      <c r="I1011">
        <v>2023</v>
      </c>
    </row>
    <row r="1012" spans="1:9" x14ac:dyDescent="0.3">
      <c r="A1012">
        <v>188197564</v>
      </c>
      <c r="B1012" s="1">
        <v>44947</v>
      </c>
      <c r="C1012" s="1">
        <v>45036</v>
      </c>
      <c r="D1012" t="s">
        <v>7</v>
      </c>
      <c r="E1012">
        <v>39</v>
      </c>
      <c r="F1012" t="s">
        <v>6</v>
      </c>
      <c r="G1012" s="19">
        <v>89</v>
      </c>
      <c r="H1012" t="s">
        <v>66</v>
      </c>
      <c r="I1012">
        <v>2023</v>
      </c>
    </row>
    <row r="1013" spans="1:9" x14ac:dyDescent="0.3">
      <c r="A1013">
        <v>191034251</v>
      </c>
      <c r="B1013" s="1">
        <v>44947</v>
      </c>
      <c r="C1013" s="1">
        <v>44972</v>
      </c>
      <c r="D1013" t="s">
        <v>7</v>
      </c>
      <c r="E1013">
        <v>39</v>
      </c>
      <c r="F1013" t="s">
        <v>6</v>
      </c>
      <c r="G1013" s="19">
        <v>25</v>
      </c>
      <c r="H1013" t="s">
        <v>66</v>
      </c>
      <c r="I1013">
        <v>2023</v>
      </c>
    </row>
    <row r="1014" spans="1:9" x14ac:dyDescent="0.3">
      <c r="A1014">
        <v>182972593</v>
      </c>
      <c r="B1014" s="1">
        <v>44947</v>
      </c>
      <c r="C1014" s="1">
        <v>44960</v>
      </c>
      <c r="D1014" t="s">
        <v>7</v>
      </c>
      <c r="E1014">
        <v>39</v>
      </c>
      <c r="F1014" t="s">
        <v>6</v>
      </c>
      <c r="G1014" s="19">
        <v>13</v>
      </c>
      <c r="H1014" t="s">
        <v>66</v>
      </c>
      <c r="I1014">
        <v>2023</v>
      </c>
    </row>
    <row r="1015" spans="1:9" x14ac:dyDescent="0.3">
      <c r="A1015">
        <v>182958960</v>
      </c>
      <c r="B1015" s="1">
        <v>44948</v>
      </c>
      <c r="C1015" s="1">
        <v>44949</v>
      </c>
      <c r="D1015" t="s">
        <v>7</v>
      </c>
      <c r="E1015">
        <v>39</v>
      </c>
      <c r="F1015" t="s">
        <v>6</v>
      </c>
      <c r="G1015" s="19">
        <v>1</v>
      </c>
      <c r="H1015" t="s">
        <v>60</v>
      </c>
      <c r="I1015">
        <v>2023</v>
      </c>
    </row>
    <row r="1016" spans="1:9" x14ac:dyDescent="0.3">
      <c r="A1016">
        <v>163220556</v>
      </c>
      <c r="B1016" s="1">
        <v>44948</v>
      </c>
      <c r="C1016" s="1">
        <v>44994</v>
      </c>
      <c r="D1016" t="s">
        <v>7</v>
      </c>
      <c r="E1016">
        <v>39</v>
      </c>
      <c r="F1016" t="s">
        <v>6</v>
      </c>
      <c r="G1016" s="19">
        <v>46</v>
      </c>
      <c r="H1016" t="s">
        <v>60</v>
      </c>
      <c r="I1016">
        <v>2023</v>
      </c>
    </row>
    <row r="1017" spans="1:9" x14ac:dyDescent="0.3">
      <c r="A1017">
        <v>191730833</v>
      </c>
      <c r="B1017" s="1">
        <v>44948</v>
      </c>
      <c r="C1017" s="1">
        <v>45006</v>
      </c>
      <c r="D1017" t="s">
        <v>7</v>
      </c>
      <c r="E1017">
        <v>39</v>
      </c>
      <c r="F1017" t="s">
        <v>6</v>
      </c>
      <c r="G1017" s="19">
        <v>58</v>
      </c>
      <c r="H1017" t="s">
        <v>60</v>
      </c>
      <c r="I1017">
        <v>2023</v>
      </c>
    </row>
    <row r="1018" spans="1:9" x14ac:dyDescent="0.3">
      <c r="A1018">
        <v>189680563</v>
      </c>
      <c r="B1018" s="1">
        <v>44948</v>
      </c>
      <c r="C1018" s="1">
        <v>45006</v>
      </c>
      <c r="D1018" t="s">
        <v>7</v>
      </c>
      <c r="E1018">
        <v>39</v>
      </c>
      <c r="F1018" t="s">
        <v>6</v>
      </c>
      <c r="G1018" s="19">
        <v>58</v>
      </c>
      <c r="H1018" t="s">
        <v>60</v>
      </c>
      <c r="I1018">
        <v>2023</v>
      </c>
    </row>
    <row r="1019" spans="1:9" x14ac:dyDescent="0.3">
      <c r="A1019">
        <v>190666110</v>
      </c>
      <c r="B1019" s="1">
        <v>44949</v>
      </c>
      <c r="D1019" t="s">
        <v>7</v>
      </c>
      <c r="E1019">
        <v>39</v>
      </c>
      <c r="F1019" t="s">
        <v>6</v>
      </c>
      <c r="H1019" t="s">
        <v>61</v>
      </c>
      <c r="I1019">
        <v>2023</v>
      </c>
    </row>
    <row r="1020" spans="1:9" x14ac:dyDescent="0.3">
      <c r="A1020">
        <v>180622613</v>
      </c>
      <c r="B1020" s="1">
        <v>44949</v>
      </c>
      <c r="D1020" t="s">
        <v>7</v>
      </c>
      <c r="E1020">
        <v>39</v>
      </c>
      <c r="F1020" t="s">
        <v>6</v>
      </c>
      <c r="H1020" t="s">
        <v>61</v>
      </c>
      <c r="I1020">
        <v>2023</v>
      </c>
    </row>
    <row r="1021" spans="1:9" x14ac:dyDescent="0.3">
      <c r="A1021">
        <v>188827172</v>
      </c>
      <c r="B1021" s="1">
        <v>44949</v>
      </c>
      <c r="D1021" t="s">
        <v>7</v>
      </c>
      <c r="E1021">
        <v>39</v>
      </c>
      <c r="F1021" t="s">
        <v>6</v>
      </c>
      <c r="H1021" t="s">
        <v>61</v>
      </c>
      <c r="I1021">
        <v>2023</v>
      </c>
    </row>
    <row r="1022" spans="1:9" x14ac:dyDescent="0.3">
      <c r="A1022">
        <v>188068965</v>
      </c>
      <c r="B1022" s="1">
        <v>44949</v>
      </c>
      <c r="C1022" s="1">
        <v>45076</v>
      </c>
      <c r="D1022" t="s">
        <v>7</v>
      </c>
      <c r="E1022">
        <v>39</v>
      </c>
      <c r="F1022" t="s">
        <v>6</v>
      </c>
      <c r="G1022" s="19">
        <v>127</v>
      </c>
      <c r="H1022" t="s">
        <v>61</v>
      </c>
      <c r="I1022">
        <v>2023</v>
      </c>
    </row>
    <row r="1023" spans="1:9" x14ac:dyDescent="0.3">
      <c r="A1023">
        <v>182958960</v>
      </c>
      <c r="B1023" s="1">
        <v>44949</v>
      </c>
      <c r="C1023" s="1">
        <v>44987</v>
      </c>
      <c r="D1023" t="s">
        <v>7</v>
      </c>
      <c r="E1023">
        <v>39</v>
      </c>
      <c r="F1023" t="s">
        <v>6</v>
      </c>
      <c r="G1023" s="19">
        <v>38</v>
      </c>
      <c r="H1023" t="s">
        <v>61</v>
      </c>
      <c r="I1023">
        <v>2023</v>
      </c>
    </row>
    <row r="1024" spans="1:9" x14ac:dyDescent="0.3">
      <c r="A1024">
        <v>191999674</v>
      </c>
      <c r="B1024" s="1">
        <v>44949</v>
      </c>
      <c r="C1024" s="1">
        <v>44970</v>
      </c>
      <c r="D1024" t="s">
        <v>7</v>
      </c>
      <c r="E1024">
        <v>39</v>
      </c>
      <c r="F1024" t="s">
        <v>6</v>
      </c>
      <c r="G1024" s="19">
        <v>21</v>
      </c>
      <c r="H1024" t="s">
        <v>61</v>
      </c>
      <c r="I1024">
        <v>2023</v>
      </c>
    </row>
    <row r="1025" spans="1:9" x14ac:dyDescent="0.3">
      <c r="A1025">
        <v>183451114</v>
      </c>
      <c r="B1025" s="1">
        <v>44949</v>
      </c>
      <c r="C1025" s="1">
        <v>45168</v>
      </c>
      <c r="D1025" t="s">
        <v>7</v>
      </c>
      <c r="E1025">
        <v>39</v>
      </c>
      <c r="F1025" t="s">
        <v>6</v>
      </c>
      <c r="G1025" s="19">
        <v>219</v>
      </c>
      <c r="H1025" t="s">
        <v>61</v>
      </c>
      <c r="I1025">
        <v>2023</v>
      </c>
    </row>
    <row r="1026" spans="1:9" x14ac:dyDescent="0.3">
      <c r="A1026">
        <v>191807491</v>
      </c>
      <c r="B1026" s="1">
        <v>44950</v>
      </c>
      <c r="D1026" t="s">
        <v>7</v>
      </c>
      <c r="E1026">
        <v>39</v>
      </c>
      <c r="F1026" t="s">
        <v>6</v>
      </c>
      <c r="H1026" t="s">
        <v>62</v>
      </c>
      <c r="I1026">
        <v>2023</v>
      </c>
    </row>
    <row r="1027" spans="1:9" x14ac:dyDescent="0.3">
      <c r="A1027">
        <v>157833252</v>
      </c>
      <c r="B1027" s="1">
        <v>44950</v>
      </c>
      <c r="C1027" s="1">
        <v>45176</v>
      </c>
      <c r="D1027" t="s">
        <v>7</v>
      </c>
      <c r="E1027">
        <v>39</v>
      </c>
      <c r="F1027" t="s">
        <v>6</v>
      </c>
      <c r="G1027" s="19">
        <v>226</v>
      </c>
      <c r="H1027" t="s">
        <v>62</v>
      </c>
      <c r="I1027">
        <v>2023</v>
      </c>
    </row>
    <row r="1028" spans="1:9" x14ac:dyDescent="0.3">
      <c r="A1028">
        <v>188162430</v>
      </c>
      <c r="B1028" s="1">
        <v>44950</v>
      </c>
      <c r="C1028" s="1">
        <v>45093</v>
      </c>
      <c r="D1028" t="s">
        <v>7</v>
      </c>
      <c r="E1028">
        <v>39</v>
      </c>
      <c r="F1028" t="s">
        <v>6</v>
      </c>
      <c r="G1028" s="19">
        <v>143</v>
      </c>
      <c r="H1028" t="s">
        <v>62</v>
      </c>
      <c r="I1028">
        <v>2023</v>
      </c>
    </row>
    <row r="1029" spans="1:9" x14ac:dyDescent="0.3">
      <c r="A1029">
        <v>190733249</v>
      </c>
      <c r="B1029" s="1">
        <v>44950</v>
      </c>
      <c r="C1029" s="1">
        <v>45005</v>
      </c>
      <c r="D1029" t="s">
        <v>7</v>
      </c>
      <c r="E1029">
        <v>39</v>
      </c>
      <c r="F1029" t="s">
        <v>6</v>
      </c>
      <c r="G1029" s="19">
        <v>55</v>
      </c>
      <c r="H1029" t="s">
        <v>62</v>
      </c>
      <c r="I1029">
        <v>2023</v>
      </c>
    </row>
    <row r="1030" spans="1:9" x14ac:dyDescent="0.3">
      <c r="A1030">
        <v>192539054</v>
      </c>
      <c r="B1030" s="1">
        <v>44950</v>
      </c>
      <c r="C1030" s="1">
        <v>44985</v>
      </c>
      <c r="D1030" t="s">
        <v>7</v>
      </c>
      <c r="E1030">
        <v>39</v>
      </c>
      <c r="F1030" t="s">
        <v>6</v>
      </c>
      <c r="G1030" s="19">
        <v>35</v>
      </c>
      <c r="H1030" t="s">
        <v>62</v>
      </c>
      <c r="I1030">
        <v>2023</v>
      </c>
    </row>
    <row r="1031" spans="1:9" x14ac:dyDescent="0.3">
      <c r="A1031">
        <v>193572822</v>
      </c>
      <c r="B1031" s="1">
        <v>44950</v>
      </c>
      <c r="C1031" s="1">
        <v>44977</v>
      </c>
      <c r="D1031" t="s">
        <v>7</v>
      </c>
      <c r="E1031">
        <v>39</v>
      </c>
      <c r="F1031" t="s">
        <v>6</v>
      </c>
      <c r="G1031" s="19">
        <v>27</v>
      </c>
      <c r="H1031" t="s">
        <v>62</v>
      </c>
      <c r="I1031">
        <v>2023</v>
      </c>
    </row>
    <row r="1032" spans="1:9" x14ac:dyDescent="0.3">
      <c r="A1032">
        <v>141399368</v>
      </c>
      <c r="B1032" s="1">
        <v>44951</v>
      </c>
      <c r="D1032" t="s">
        <v>7</v>
      </c>
      <c r="E1032">
        <v>39</v>
      </c>
      <c r="F1032" t="s">
        <v>6</v>
      </c>
      <c r="H1032" t="s">
        <v>63</v>
      </c>
      <c r="I1032">
        <v>2023</v>
      </c>
    </row>
    <row r="1033" spans="1:9" x14ac:dyDescent="0.3">
      <c r="A1033">
        <v>193285633</v>
      </c>
      <c r="B1033" s="1">
        <v>44951</v>
      </c>
      <c r="D1033" t="s">
        <v>7</v>
      </c>
      <c r="E1033">
        <v>39</v>
      </c>
      <c r="F1033" t="s">
        <v>6</v>
      </c>
      <c r="H1033" t="s">
        <v>63</v>
      </c>
      <c r="I1033">
        <v>2023</v>
      </c>
    </row>
    <row r="1034" spans="1:9" x14ac:dyDescent="0.3">
      <c r="A1034">
        <v>193891378</v>
      </c>
      <c r="B1034" s="1">
        <v>44951</v>
      </c>
      <c r="D1034" t="s">
        <v>7</v>
      </c>
      <c r="E1034">
        <v>39</v>
      </c>
      <c r="F1034" t="s">
        <v>6</v>
      </c>
      <c r="H1034" t="s">
        <v>63</v>
      </c>
      <c r="I1034">
        <v>2023</v>
      </c>
    </row>
    <row r="1035" spans="1:9" x14ac:dyDescent="0.3">
      <c r="A1035">
        <v>153628260</v>
      </c>
      <c r="B1035" s="1">
        <v>44951</v>
      </c>
      <c r="C1035" s="1">
        <v>44952</v>
      </c>
      <c r="D1035" t="s">
        <v>7</v>
      </c>
      <c r="E1035">
        <v>39</v>
      </c>
      <c r="F1035" t="s">
        <v>6</v>
      </c>
      <c r="G1035" s="19">
        <v>1</v>
      </c>
      <c r="H1035" t="s">
        <v>63</v>
      </c>
      <c r="I1035">
        <v>2023</v>
      </c>
    </row>
    <row r="1036" spans="1:9" x14ac:dyDescent="0.3">
      <c r="A1036">
        <v>194719566</v>
      </c>
      <c r="B1036" s="1">
        <v>44951</v>
      </c>
      <c r="C1036" s="1">
        <v>44951</v>
      </c>
      <c r="D1036" t="s">
        <v>8</v>
      </c>
      <c r="E1036">
        <v>39</v>
      </c>
      <c r="F1036" t="s">
        <v>6</v>
      </c>
      <c r="G1036" s="19">
        <v>0</v>
      </c>
      <c r="H1036" t="s">
        <v>63</v>
      </c>
      <c r="I1036">
        <v>2023</v>
      </c>
    </row>
    <row r="1037" spans="1:9" x14ac:dyDescent="0.3">
      <c r="A1037">
        <v>176559401</v>
      </c>
      <c r="B1037" s="1">
        <v>44951</v>
      </c>
      <c r="C1037" s="1">
        <v>44951</v>
      </c>
      <c r="D1037" t="s">
        <v>8</v>
      </c>
      <c r="E1037">
        <v>39</v>
      </c>
      <c r="F1037" t="s">
        <v>6</v>
      </c>
      <c r="G1037" s="19">
        <v>0</v>
      </c>
      <c r="H1037" t="s">
        <v>63</v>
      </c>
      <c r="I1037">
        <v>2023</v>
      </c>
    </row>
    <row r="1038" spans="1:9" x14ac:dyDescent="0.3">
      <c r="A1038">
        <v>150178354</v>
      </c>
      <c r="B1038" s="1">
        <v>44951</v>
      </c>
      <c r="C1038" s="1">
        <v>45071</v>
      </c>
      <c r="D1038" t="s">
        <v>7</v>
      </c>
      <c r="E1038">
        <v>39</v>
      </c>
      <c r="F1038" t="s">
        <v>6</v>
      </c>
      <c r="G1038" s="19">
        <v>120</v>
      </c>
      <c r="H1038" t="s">
        <v>63</v>
      </c>
      <c r="I1038">
        <v>2023</v>
      </c>
    </row>
    <row r="1039" spans="1:9" x14ac:dyDescent="0.3">
      <c r="A1039">
        <v>192395073</v>
      </c>
      <c r="B1039" s="1">
        <v>44951</v>
      </c>
      <c r="C1039" s="1">
        <v>45022</v>
      </c>
      <c r="D1039" t="s">
        <v>7</v>
      </c>
      <c r="E1039">
        <v>39</v>
      </c>
      <c r="F1039" t="s">
        <v>6</v>
      </c>
      <c r="G1039" s="19">
        <v>71</v>
      </c>
      <c r="H1039" t="s">
        <v>63</v>
      </c>
      <c r="I1039">
        <v>2023</v>
      </c>
    </row>
    <row r="1040" spans="1:9" x14ac:dyDescent="0.3">
      <c r="A1040">
        <v>152690237</v>
      </c>
      <c r="B1040" s="1">
        <v>44951</v>
      </c>
      <c r="C1040" s="1">
        <v>45007</v>
      </c>
      <c r="D1040" t="s">
        <v>7</v>
      </c>
      <c r="E1040">
        <v>39</v>
      </c>
      <c r="F1040" t="s">
        <v>6</v>
      </c>
      <c r="G1040" s="19">
        <v>56</v>
      </c>
      <c r="H1040" t="s">
        <v>63</v>
      </c>
      <c r="I1040">
        <v>2023</v>
      </c>
    </row>
    <row r="1041" spans="1:9" x14ac:dyDescent="0.3">
      <c r="A1041">
        <v>151572886</v>
      </c>
      <c r="B1041" s="1">
        <v>44951</v>
      </c>
      <c r="C1041" s="1">
        <v>44997</v>
      </c>
      <c r="D1041" t="s">
        <v>7</v>
      </c>
      <c r="E1041">
        <v>39</v>
      </c>
      <c r="F1041" t="s">
        <v>6</v>
      </c>
      <c r="G1041" s="19">
        <v>46</v>
      </c>
      <c r="H1041" t="s">
        <v>63</v>
      </c>
      <c r="I1041">
        <v>2023</v>
      </c>
    </row>
    <row r="1042" spans="1:9" x14ac:dyDescent="0.3">
      <c r="A1042">
        <v>193869975</v>
      </c>
      <c r="B1042" s="1">
        <v>44951</v>
      </c>
      <c r="C1042" s="1">
        <v>45000</v>
      </c>
      <c r="D1042" t="s">
        <v>7</v>
      </c>
      <c r="E1042">
        <v>39</v>
      </c>
      <c r="F1042" t="s">
        <v>6</v>
      </c>
      <c r="G1042" s="19">
        <v>49</v>
      </c>
      <c r="H1042" t="s">
        <v>63</v>
      </c>
      <c r="I1042">
        <v>2023</v>
      </c>
    </row>
    <row r="1043" spans="1:9" x14ac:dyDescent="0.3">
      <c r="A1043">
        <v>175077871</v>
      </c>
      <c r="B1043" s="1">
        <v>44951</v>
      </c>
      <c r="C1043" s="1">
        <v>45000</v>
      </c>
      <c r="D1043" t="s">
        <v>7</v>
      </c>
      <c r="E1043">
        <v>39</v>
      </c>
      <c r="F1043" t="s">
        <v>6</v>
      </c>
      <c r="G1043" s="19">
        <v>49</v>
      </c>
      <c r="H1043" t="s">
        <v>63</v>
      </c>
      <c r="I1043">
        <v>2023</v>
      </c>
    </row>
    <row r="1044" spans="1:9" x14ac:dyDescent="0.3">
      <c r="A1044">
        <v>193229869</v>
      </c>
      <c r="B1044" s="1">
        <v>44951</v>
      </c>
      <c r="C1044" s="1">
        <v>44986</v>
      </c>
      <c r="D1044" t="s">
        <v>7</v>
      </c>
      <c r="E1044">
        <v>39</v>
      </c>
      <c r="F1044" t="s">
        <v>6</v>
      </c>
      <c r="G1044" s="19">
        <v>35</v>
      </c>
      <c r="H1044" t="s">
        <v>63</v>
      </c>
      <c r="I1044">
        <v>2023</v>
      </c>
    </row>
    <row r="1045" spans="1:9" x14ac:dyDescent="0.3">
      <c r="A1045">
        <v>189257579</v>
      </c>
      <c r="B1045" s="1">
        <v>44952</v>
      </c>
      <c r="D1045" t="s">
        <v>7</v>
      </c>
      <c r="E1045">
        <v>39</v>
      </c>
      <c r="F1045" t="s">
        <v>6</v>
      </c>
      <c r="H1045" t="s">
        <v>64</v>
      </c>
      <c r="I1045">
        <v>2023</v>
      </c>
    </row>
    <row r="1046" spans="1:9" x14ac:dyDescent="0.3">
      <c r="A1046">
        <v>184333409</v>
      </c>
      <c r="B1046" s="1">
        <v>44952</v>
      </c>
      <c r="D1046" t="s">
        <v>7</v>
      </c>
      <c r="E1046">
        <v>39</v>
      </c>
      <c r="F1046" t="s">
        <v>6</v>
      </c>
      <c r="H1046" t="s">
        <v>64</v>
      </c>
      <c r="I1046">
        <v>2023</v>
      </c>
    </row>
    <row r="1047" spans="1:9" x14ac:dyDescent="0.3">
      <c r="A1047">
        <v>144719454</v>
      </c>
      <c r="B1047" s="1">
        <v>44952</v>
      </c>
      <c r="D1047" t="s">
        <v>7</v>
      </c>
      <c r="E1047">
        <v>39</v>
      </c>
      <c r="F1047" t="s">
        <v>6</v>
      </c>
      <c r="H1047" t="s">
        <v>64</v>
      </c>
      <c r="I1047">
        <v>2023</v>
      </c>
    </row>
    <row r="1048" spans="1:9" x14ac:dyDescent="0.3">
      <c r="A1048">
        <v>195759475</v>
      </c>
      <c r="B1048" s="1">
        <v>44952</v>
      </c>
      <c r="D1048" t="s">
        <v>7</v>
      </c>
      <c r="E1048">
        <v>39</v>
      </c>
      <c r="F1048" t="s">
        <v>6</v>
      </c>
      <c r="H1048" t="s">
        <v>64</v>
      </c>
      <c r="I1048">
        <v>2023</v>
      </c>
    </row>
    <row r="1049" spans="1:9" x14ac:dyDescent="0.3">
      <c r="A1049">
        <v>167602454</v>
      </c>
      <c r="B1049" s="1">
        <v>44952</v>
      </c>
      <c r="D1049" t="s">
        <v>7</v>
      </c>
      <c r="E1049">
        <v>39</v>
      </c>
      <c r="F1049" t="s">
        <v>6</v>
      </c>
      <c r="H1049" t="s">
        <v>64</v>
      </c>
      <c r="I1049">
        <v>2023</v>
      </c>
    </row>
    <row r="1050" spans="1:9" x14ac:dyDescent="0.3">
      <c r="A1050">
        <v>148838269</v>
      </c>
      <c r="B1050" s="1">
        <v>44952</v>
      </c>
      <c r="D1050" t="s">
        <v>7</v>
      </c>
      <c r="E1050">
        <v>39</v>
      </c>
      <c r="F1050" t="s">
        <v>6</v>
      </c>
      <c r="H1050" t="s">
        <v>64</v>
      </c>
      <c r="I1050">
        <v>2023</v>
      </c>
    </row>
    <row r="1051" spans="1:9" x14ac:dyDescent="0.3">
      <c r="A1051">
        <v>195938394</v>
      </c>
      <c r="B1051" s="1">
        <v>44952</v>
      </c>
      <c r="C1051" s="1">
        <v>45100</v>
      </c>
      <c r="D1051" t="s">
        <v>7</v>
      </c>
      <c r="E1051">
        <v>39</v>
      </c>
      <c r="F1051" t="s">
        <v>6</v>
      </c>
      <c r="G1051" s="19">
        <v>148</v>
      </c>
      <c r="H1051" t="s">
        <v>64</v>
      </c>
      <c r="I1051">
        <v>2023</v>
      </c>
    </row>
    <row r="1052" spans="1:9" x14ac:dyDescent="0.3">
      <c r="A1052">
        <v>194091086</v>
      </c>
      <c r="B1052" s="1">
        <v>44952</v>
      </c>
      <c r="C1052" s="1">
        <v>45020</v>
      </c>
      <c r="D1052" t="s">
        <v>7</v>
      </c>
      <c r="E1052">
        <v>39</v>
      </c>
      <c r="F1052" t="s">
        <v>6</v>
      </c>
      <c r="G1052" s="19">
        <v>68</v>
      </c>
      <c r="H1052" t="s">
        <v>64</v>
      </c>
      <c r="I1052">
        <v>2023</v>
      </c>
    </row>
    <row r="1053" spans="1:9" x14ac:dyDescent="0.3">
      <c r="A1053">
        <v>181456580</v>
      </c>
      <c r="B1053" s="1">
        <v>44952</v>
      </c>
      <c r="C1053" s="1">
        <v>45039</v>
      </c>
      <c r="D1053" t="s">
        <v>7</v>
      </c>
      <c r="E1053">
        <v>39</v>
      </c>
      <c r="F1053" t="s">
        <v>6</v>
      </c>
      <c r="G1053" s="19">
        <v>87</v>
      </c>
      <c r="H1053" t="s">
        <v>64</v>
      </c>
      <c r="I1053">
        <v>2023</v>
      </c>
    </row>
    <row r="1054" spans="1:9" x14ac:dyDescent="0.3">
      <c r="A1054">
        <v>169302100</v>
      </c>
      <c r="B1054" s="1">
        <v>44952</v>
      </c>
      <c r="C1054" s="1">
        <v>45015</v>
      </c>
      <c r="D1054" t="s">
        <v>7</v>
      </c>
      <c r="E1054">
        <v>39</v>
      </c>
      <c r="F1054" t="s">
        <v>6</v>
      </c>
      <c r="G1054" s="19">
        <v>63</v>
      </c>
      <c r="H1054" t="s">
        <v>64</v>
      </c>
      <c r="I1054">
        <v>2023</v>
      </c>
    </row>
    <row r="1055" spans="1:9" x14ac:dyDescent="0.3">
      <c r="A1055">
        <v>180997025</v>
      </c>
      <c r="B1055" s="1">
        <v>44952</v>
      </c>
      <c r="C1055" s="1">
        <v>44990</v>
      </c>
      <c r="D1055" t="s">
        <v>7</v>
      </c>
      <c r="E1055">
        <v>39</v>
      </c>
      <c r="F1055" t="s">
        <v>6</v>
      </c>
      <c r="G1055" s="19">
        <v>38</v>
      </c>
      <c r="H1055" t="s">
        <v>64</v>
      </c>
      <c r="I1055">
        <v>2023</v>
      </c>
    </row>
    <row r="1056" spans="1:9" x14ac:dyDescent="0.3">
      <c r="A1056">
        <v>196091620</v>
      </c>
      <c r="B1056" s="1">
        <v>44952</v>
      </c>
      <c r="C1056" s="1">
        <v>44959</v>
      </c>
      <c r="D1056" t="s">
        <v>7</v>
      </c>
      <c r="E1056">
        <v>39</v>
      </c>
      <c r="F1056" t="s">
        <v>6</v>
      </c>
      <c r="G1056" s="19">
        <v>7</v>
      </c>
      <c r="H1056" t="s">
        <v>64</v>
      </c>
      <c r="I1056">
        <v>2023</v>
      </c>
    </row>
    <row r="1057" spans="1:9" x14ac:dyDescent="0.3">
      <c r="A1057">
        <v>189277140</v>
      </c>
      <c r="B1057" s="1">
        <v>44952</v>
      </c>
      <c r="C1057" s="1">
        <v>44980</v>
      </c>
      <c r="D1057" t="s">
        <v>7</v>
      </c>
      <c r="E1057">
        <v>39</v>
      </c>
      <c r="F1057" t="s">
        <v>6</v>
      </c>
      <c r="G1057" s="19">
        <v>28</v>
      </c>
      <c r="H1057" t="s">
        <v>64</v>
      </c>
      <c r="I1057">
        <v>2023</v>
      </c>
    </row>
    <row r="1058" spans="1:9" x14ac:dyDescent="0.3">
      <c r="A1058">
        <v>195279352</v>
      </c>
      <c r="B1058" s="1">
        <v>44952</v>
      </c>
      <c r="C1058" s="1">
        <v>44980</v>
      </c>
      <c r="D1058" t="s">
        <v>7</v>
      </c>
      <c r="E1058">
        <v>39</v>
      </c>
      <c r="F1058" t="s">
        <v>6</v>
      </c>
      <c r="G1058" s="19">
        <v>28</v>
      </c>
      <c r="H1058" t="s">
        <v>64</v>
      </c>
      <c r="I1058">
        <v>2023</v>
      </c>
    </row>
    <row r="1059" spans="1:9" x14ac:dyDescent="0.3">
      <c r="A1059">
        <v>191113428</v>
      </c>
      <c r="B1059" s="1">
        <v>44952</v>
      </c>
      <c r="C1059" s="1">
        <v>44952</v>
      </c>
      <c r="D1059" t="s">
        <v>7</v>
      </c>
      <c r="E1059">
        <v>39</v>
      </c>
      <c r="F1059" t="s">
        <v>6</v>
      </c>
      <c r="G1059" s="19">
        <v>0</v>
      </c>
      <c r="H1059" t="s">
        <v>64</v>
      </c>
      <c r="I1059">
        <v>2023</v>
      </c>
    </row>
    <row r="1060" spans="1:9" x14ac:dyDescent="0.3">
      <c r="A1060">
        <v>193802414</v>
      </c>
      <c r="B1060" s="1">
        <v>44952</v>
      </c>
      <c r="C1060" s="1">
        <v>45104</v>
      </c>
      <c r="D1060" t="s">
        <v>7</v>
      </c>
      <c r="E1060">
        <v>39</v>
      </c>
      <c r="F1060" t="s">
        <v>6</v>
      </c>
      <c r="G1060" s="19">
        <v>152</v>
      </c>
      <c r="H1060" t="s">
        <v>64</v>
      </c>
      <c r="I1060">
        <v>2023</v>
      </c>
    </row>
    <row r="1061" spans="1:9" x14ac:dyDescent="0.3">
      <c r="A1061">
        <v>115735280</v>
      </c>
      <c r="B1061" s="1">
        <v>44953</v>
      </c>
      <c r="D1061" t="s">
        <v>7</v>
      </c>
      <c r="E1061">
        <v>39</v>
      </c>
      <c r="F1061" t="s">
        <v>6</v>
      </c>
      <c r="H1061" t="s">
        <v>65</v>
      </c>
      <c r="I1061">
        <v>2023</v>
      </c>
    </row>
    <row r="1062" spans="1:9" x14ac:dyDescent="0.3">
      <c r="A1062">
        <v>153026024</v>
      </c>
      <c r="B1062" s="1">
        <v>44953</v>
      </c>
      <c r="D1062" t="s">
        <v>7</v>
      </c>
      <c r="E1062">
        <v>39</v>
      </c>
      <c r="F1062" t="s">
        <v>6</v>
      </c>
      <c r="H1062" t="s">
        <v>65</v>
      </c>
      <c r="I1062">
        <v>2023</v>
      </c>
    </row>
    <row r="1063" spans="1:9" x14ac:dyDescent="0.3">
      <c r="A1063">
        <v>196069557</v>
      </c>
      <c r="B1063" s="1">
        <v>44953</v>
      </c>
      <c r="D1063" t="s">
        <v>7</v>
      </c>
      <c r="E1063">
        <v>39</v>
      </c>
      <c r="F1063" t="s">
        <v>6</v>
      </c>
      <c r="H1063" t="s">
        <v>65</v>
      </c>
      <c r="I1063">
        <v>2023</v>
      </c>
    </row>
    <row r="1064" spans="1:9" x14ac:dyDescent="0.3">
      <c r="A1064">
        <v>193666586</v>
      </c>
      <c r="B1064" s="1">
        <v>44953</v>
      </c>
      <c r="D1064" t="s">
        <v>7</v>
      </c>
      <c r="E1064">
        <v>39</v>
      </c>
      <c r="F1064" t="s">
        <v>6</v>
      </c>
      <c r="H1064" t="s">
        <v>65</v>
      </c>
      <c r="I1064">
        <v>2023</v>
      </c>
    </row>
    <row r="1065" spans="1:9" x14ac:dyDescent="0.3">
      <c r="A1065">
        <v>192550222</v>
      </c>
      <c r="B1065" s="1">
        <v>44953</v>
      </c>
      <c r="D1065" t="s">
        <v>7</v>
      </c>
      <c r="E1065">
        <v>39</v>
      </c>
      <c r="F1065" t="s">
        <v>6</v>
      </c>
      <c r="H1065" t="s">
        <v>65</v>
      </c>
      <c r="I1065">
        <v>2023</v>
      </c>
    </row>
    <row r="1066" spans="1:9" x14ac:dyDescent="0.3">
      <c r="A1066">
        <v>196022560</v>
      </c>
      <c r="B1066" s="1">
        <v>44953</v>
      </c>
      <c r="C1066" s="1">
        <v>45174</v>
      </c>
      <c r="D1066" t="s">
        <v>7</v>
      </c>
      <c r="E1066">
        <v>39</v>
      </c>
      <c r="F1066" t="s">
        <v>6</v>
      </c>
      <c r="G1066" s="19">
        <v>221</v>
      </c>
      <c r="H1066" t="s">
        <v>65</v>
      </c>
      <c r="I1066">
        <v>2023</v>
      </c>
    </row>
    <row r="1067" spans="1:9" x14ac:dyDescent="0.3">
      <c r="A1067">
        <v>196715854</v>
      </c>
      <c r="B1067" s="1">
        <v>44953</v>
      </c>
      <c r="C1067" s="1">
        <v>44954</v>
      </c>
      <c r="D1067" t="s">
        <v>8</v>
      </c>
      <c r="E1067">
        <v>39</v>
      </c>
      <c r="F1067" t="s">
        <v>6</v>
      </c>
      <c r="G1067" s="19">
        <v>1</v>
      </c>
      <c r="H1067" t="s">
        <v>65</v>
      </c>
      <c r="I1067">
        <v>2023</v>
      </c>
    </row>
    <row r="1068" spans="1:9" x14ac:dyDescent="0.3">
      <c r="A1068">
        <v>196969212</v>
      </c>
      <c r="B1068" s="1">
        <v>44953</v>
      </c>
      <c r="C1068" s="1">
        <v>45040</v>
      </c>
      <c r="D1068" t="s">
        <v>7</v>
      </c>
      <c r="E1068">
        <v>39</v>
      </c>
      <c r="F1068" t="s">
        <v>6</v>
      </c>
      <c r="G1068" s="19">
        <v>87</v>
      </c>
      <c r="H1068" t="s">
        <v>65</v>
      </c>
      <c r="I1068">
        <v>2023</v>
      </c>
    </row>
    <row r="1069" spans="1:9" x14ac:dyDescent="0.3">
      <c r="A1069">
        <v>196308725</v>
      </c>
      <c r="B1069" s="1">
        <v>44953</v>
      </c>
      <c r="C1069" s="1">
        <v>45016</v>
      </c>
      <c r="D1069" t="s">
        <v>7</v>
      </c>
      <c r="E1069">
        <v>39</v>
      </c>
      <c r="F1069" t="s">
        <v>6</v>
      </c>
      <c r="G1069" s="19">
        <v>63</v>
      </c>
      <c r="H1069" t="s">
        <v>65</v>
      </c>
      <c r="I1069">
        <v>2023</v>
      </c>
    </row>
    <row r="1070" spans="1:9" x14ac:dyDescent="0.3">
      <c r="A1070">
        <v>196245690</v>
      </c>
      <c r="B1070" s="1">
        <v>44953</v>
      </c>
      <c r="C1070" s="1">
        <v>45012</v>
      </c>
      <c r="D1070" t="s">
        <v>7</v>
      </c>
      <c r="E1070">
        <v>39</v>
      </c>
      <c r="F1070" t="s">
        <v>6</v>
      </c>
      <c r="G1070" s="19">
        <v>59</v>
      </c>
      <c r="H1070" t="s">
        <v>65</v>
      </c>
      <c r="I1070">
        <v>2023</v>
      </c>
    </row>
    <row r="1071" spans="1:9" x14ac:dyDescent="0.3">
      <c r="A1071">
        <v>195988242</v>
      </c>
      <c r="B1071" s="1">
        <v>44953</v>
      </c>
      <c r="C1071" s="1">
        <v>44991</v>
      </c>
      <c r="D1071" t="s">
        <v>7</v>
      </c>
      <c r="E1071">
        <v>39</v>
      </c>
      <c r="F1071" t="s">
        <v>6</v>
      </c>
      <c r="G1071" s="19">
        <v>38</v>
      </c>
      <c r="H1071" t="s">
        <v>65</v>
      </c>
      <c r="I1071">
        <v>2023</v>
      </c>
    </row>
    <row r="1072" spans="1:9" x14ac:dyDescent="0.3">
      <c r="A1072">
        <v>192068317</v>
      </c>
      <c r="B1072" s="1">
        <v>44953</v>
      </c>
      <c r="C1072" s="1">
        <v>45013</v>
      </c>
      <c r="D1072" t="s">
        <v>7</v>
      </c>
      <c r="E1072">
        <v>39</v>
      </c>
      <c r="F1072" t="s">
        <v>6</v>
      </c>
      <c r="G1072" s="19">
        <v>60</v>
      </c>
      <c r="H1072" t="s">
        <v>65</v>
      </c>
      <c r="I1072">
        <v>2023</v>
      </c>
    </row>
    <row r="1073" spans="1:9" x14ac:dyDescent="0.3">
      <c r="A1073">
        <v>195039185</v>
      </c>
      <c r="B1073" s="1">
        <v>44953</v>
      </c>
      <c r="C1073" s="1">
        <v>44980</v>
      </c>
      <c r="D1073" t="s">
        <v>7</v>
      </c>
      <c r="E1073">
        <v>39</v>
      </c>
      <c r="F1073" t="s">
        <v>6</v>
      </c>
      <c r="G1073" s="19">
        <v>27</v>
      </c>
      <c r="H1073" t="s">
        <v>65</v>
      </c>
      <c r="I1073">
        <v>2023</v>
      </c>
    </row>
    <row r="1074" spans="1:9" x14ac:dyDescent="0.3">
      <c r="A1074">
        <v>188563149</v>
      </c>
      <c r="B1074" s="1">
        <v>44953</v>
      </c>
      <c r="C1074" s="1">
        <v>45154</v>
      </c>
      <c r="D1074" t="s">
        <v>7</v>
      </c>
      <c r="E1074">
        <v>39</v>
      </c>
      <c r="F1074" t="s">
        <v>6</v>
      </c>
      <c r="G1074" s="19">
        <v>201</v>
      </c>
      <c r="H1074" t="s">
        <v>65</v>
      </c>
      <c r="I1074">
        <v>2023</v>
      </c>
    </row>
    <row r="1075" spans="1:9" x14ac:dyDescent="0.3">
      <c r="A1075">
        <v>188748439</v>
      </c>
      <c r="B1075" s="1">
        <v>44953</v>
      </c>
      <c r="C1075" s="1">
        <v>45157</v>
      </c>
      <c r="D1075" t="s">
        <v>7</v>
      </c>
      <c r="E1075">
        <v>39</v>
      </c>
      <c r="F1075" t="s">
        <v>6</v>
      </c>
      <c r="G1075" s="19">
        <v>204</v>
      </c>
      <c r="H1075" t="s">
        <v>65</v>
      </c>
      <c r="I1075">
        <v>2023</v>
      </c>
    </row>
    <row r="1076" spans="1:9" x14ac:dyDescent="0.3">
      <c r="A1076">
        <v>160873880</v>
      </c>
      <c r="B1076" s="1">
        <v>44954</v>
      </c>
      <c r="D1076" t="s">
        <v>7</v>
      </c>
      <c r="E1076">
        <v>39</v>
      </c>
      <c r="F1076" t="s">
        <v>6</v>
      </c>
      <c r="H1076" t="s">
        <v>66</v>
      </c>
      <c r="I1076">
        <v>2023</v>
      </c>
    </row>
    <row r="1077" spans="1:9" x14ac:dyDescent="0.3">
      <c r="A1077">
        <v>160379194</v>
      </c>
      <c r="B1077" s="1">
        <v>44954</v>
      </c>
      <c r="C1077" s="1">
        <v>44954</v>
      </c>
      <c r="D1077" t="s">
        <v>7</v>
      </c>
      <c r="E1077">
        <v>39</v>
      </c>
      <c r="F1077" t="s">
        <v>6</v>
      </c>
      <c r="G1077" s="19">
        <v>0</v>
      </c>
      <c r="H1077" t="s">
        <v>66</v>
      </c>
      <c r="I1077">
        <v>2023</v>
      </c>
    </row>
    <row r="1078" spans="1:9" x14ac:dyDescent="0.3">
      <c r="A1078">
        <v>194169961</v>
      </c>
      <c r="B1078" s="1">
        <v>44954</v>
      </c>
      <c r="C1078" s="1">
        <v>45009</v>
      </c>
      <c r="D1078" t="s">
        <v>7</v>
      </c>
      <c r="E1078">
        <v>39</v>
      </c>
      <c r="F1078" t="s">
        <v>6</v>
      </c>
      <c r="G1078" s="19">
        <v>55</v>
      </c>
      <c r="H1078" t="s">
        <v>66</v>
      </c>
      <c r="I1078">
        <v>2023</v>
      </c>
    </row>
    <row r="1079" spans="1:9" x14ac:dyDescent="0.3">
      <c r="A1079">
        <v>184209232</v>
      </c>
      <c r="B1079" s="1">
        <v>44954</v>
      </c>
      <c r="C1079" s="1">
        <v>44992</v>
      </c>
      <c r="D1079" t="s">
        <v>7</v>
      </c>
      <c r="E1079">
        <v>39</v>
      </c>
      <c r="F1079" t="s">
        <v>6</v>
      </c>
      <c r="G1079" s="19">
        <v>38</v>
      </c>
      <c r="H1079" t="s">
        <v>66</v>
      </c>
      <c r="I1079">
        <v>2023</v>
      </c>
    </row>
    <row r="1080" spans="1:9" x14ac:dyDescent="0.3">
      <c r="A1080">
        <v>195198228</v>
      </c>
      <c r="B1080" s="1">
        <v>44954</v>
      </c>
      <c r="C1080" s="1">
        <v>44974</v>
      </c>
      <c r="D1080" t="s">
        <v>7</v>
      </c>
      <c r="E1080">
        <v>39</v>
      </c>
      <c r="F1080" t="s">
        <v>6</v>
      </c>
      <c r="G1080" s="19">
        <v>20</v>
      </c>
      <c r="H1080" t="s">
        <v>66</v>
      </c>
      <c r="I1080">
        <v>2023</v>
      </c>
    </row>
    <row r="1081" spans="1:9" x14ac:dyDescent="0.3">
      <c r="A1081">
        <v>153657568</v>
      </c>
      <c r="B1081" s="1">
        <v>44955</v>
      </c>
      <c r="D1081" t="s">
        <v>7</v>
      </c>
      <c r="E1081">
        <v>39</v>
      </c>
      <c r="F1081" t="s">
        <v>6</v>
      </c>
      <c r="H1081" t="s">
        <v>60</v>
      </c>
      <c r="I1081">
        <v>2023</v>
      </c>
    </row>
    <row r="1082" spans="1:9" x14ac:dyDescent="0.3">
      <c r="A1082">
        <v>127697219</v>
      </c>
      <c r="B1082" s="1">
        <v>44955</v>
      </c>
      <c r="C1082" s="1">
        <v>45071</v>
      </c>
      <c r="D1082" t="s">
        <v>7</v>
      </c>
      <c r="E1082">
        <v>39</v>
      </c>
      <c r="F1082" t="s">
        <v>6</v>
      </c>
      <c r="G1082" s="19">
        <v>116</v>
      </c>
      <c r="H1082" t="s">
        <v>60</v>
      </c>
      <c r="I1082">
        <v>2023</v>
      </c>
    </row>
    <row r="1083" spans="1:9" x14ac:dyDescent="0.3">
      <c r="A1083">
        <v>198448283</v>
      </c>
      <c r="B1083" s="1">
        <v>44955</v>
      </c>
      <c r="C1083" s="1">
        <v>45113</v>
      </c>
      <c r="D1083" t="s">
        <v>7</v>
      </c>
      <c r="E1083">
        <v>39</v>
      </c>
      <c r="F1083" t="s">
        <v>6</v>
      </c>
      <c r="G1083" s="19">
        <v>158</v>
      </c>
      <c r="H1083" t="s">
        <v>60</v>
      </c>
      <c r="I1083">
        <v>2023</v>
      </c>
    </row>
    <row r="1084" spans="1:9" x14ac:dyDescent="0.3">
      <c r="A1084">
        <v>159483118</v>
      </c>
      <c r="B1084" s="1">
        <v>44955</v>
      </c>
      <c r="C1084" s="1">
        <v>44986</v>
      </c>
      <c r="D1084" t="s">
        <v>7</v>
      </c>
      <c r="E1084">
        <v>39</v>
      </c>
      <c r="F1084" t="s">
        <v>6</v>
      </c>
      <c r="G1084" s="19">
        <v>31</v>
      </c>
      <c r="H1084" t="s">
        <v>60</v>
      </c>
      <c r="I1084">
        <v>2023</v>
      </c>
    </row>
    <row r="1085" spans="1:9" x14ac:dyDescent="0.3">
      <c r="A1085">
        <v>152433647</v>
      </c>
      <c r="B1085" s="1">
        <v>44955</v>
      </c>
      <c r="C1085" s="1">
        <v>44998</v>
      </c>
      <c r="D1085" t="s">
        <v>7</v>
      </c>
      <c r="E1085">
        <v>39</v>
      </c>
      <c r="F1085" t="s">
        <v>6</v>
      </c>
      <c r="G1085" s="19">
        <v>43</v>
      </c>
      <c r="H1085" t="s">
        <v>60</v>
      </c>
      <c r="I1085">
        <v>2023</v>
      </c>
    </row>
    <row r="1086" spans="1:9" x14ac:dyDescent="0.3">
      <c r="A1086">
        <v>154790198</v>
      </c>
      <c r="B1086" s="1">
        <v>44955</v>
      </c>
      <c r="C1086" s="1">
        <v>44972</v>
      </c>
      <c r="D1086" t="s">
        <v>7</v>
      </c>
      <c r="E1086">
        <v>39</v>
      </c>
      <c r="F1086" t="s">
        <v>6</v>
      </c>
      <c r="G1086" s="19">
        <v>17</v>
      </c>
      <c r="H1086" t="s">
        <v>60</v>
      </c>
      <c r="I1086">
        <v>2023</v>
      </c>
    </row>
    <row r="1087" spans="1:9" x14ac:dyDescent="0.3">
      <c r="A1087">
        <v>191896242</v>
      </c>
      <c r="B1087" s="1">
        <v>44956</v>
      </c>
      <c r="D1087" t="s">
        <v>7</v>
      </c>
      <c r="E1087">
        <v>39</v>
      </c>
      <c r="F1087" t="s">
        <v>6</v>
      </c>
      <c r="H1087" t="s">
        <v>61</v>
      </c>
      <c r="I1087">
        <v>2023</v>
      </c>
    </row>
    <row r="1088" spans="1:9" x14ac:dyDescent="0.3">
      <c r="A1088">
        <v>136407072</v>
      </c>
      <c r="B1088" s="1">
        <v>44956</v>
      </c>
      <c r="C1088" s="1">
        <v>45138</v>
      </c>
      <c r="D1088" t="s">
        <v>7</v>
      </c>
      <c r="E1088">
        <v>39</v>
      </c>
      <c r="F1088" t="s">
        <v>6</v>
      </c>
      <c r="G1088" s="19">
        <v>182</v>
      </c>
      <c r="H1088" t="s">
        <v>61</v>
      </c>
      <c r="I1088">
        <v>2023</v>
      </c>
    </row>
    <row r="1089" spans="1:9" x14ac:dyDescent="0.3">
      <c r="A1089">
        <v>199439964</v>
      </c>
      <c r="B1089" s="1">
        <v>44956</v>
      </c>
      <c r="C1089" s="1">
        <v>45083</v>
      </c>
      <c r="D1089" t="s">
        <v>7</v>
      </c>
      <c r="E1089">
        <v>39</v>
      </c>
      <c r="F1089" t="s">
        <v>6</v>
      </c>
      <c r="G1089" s="19">
        <v>127</v>
      </c>
      <c r="H1089" t="s">
        <v>61</v>
      </c>
      <c r="I1089">
        <v>2023</v>
      </c>
    </row>
    <row r="1090" spans="1:9" x14ac:dyDescent="0.3">
      <c r="A1090">
        <v>199255574</v>
      </c>
      <c r="B1090" s="1">
        <v>44956</v>
      </c>
      <c r="C1090" s="1">
        <v>45098</v>
      </c>
      <c r="D1090" t="s">
        <v>7</v>
      </c>
      <c r="E1090">
        <v>39</v>
      </c>
      <c r="F1090" t="s">
        <v>6</v>
      </c>
      <c r="G1090" s="19">
        <v>142</v>
      </c>
      <c r="H1090" t="s">
        <v>61</v>
      </c>
      <c r="I1090">
        <v>2023</v>
      </c>
    </row>
    <row r="1091" spans="1:9" x14ac:dyDescent="0.3">
      <c r="A1091">
        <v>167938302</v>
      </c>
      <c r="B1091" s="1">
        <v>44956</v>
      </c>
      <c r="C1091" s="1">
        <v>45022</v>
      </c>
      <c r="D1091" t="s">
        <v>7</v>
      </c>
      <c r="E1091">
        <v>39</v>
      </c>
      <c r="F1091" t="s">
        <v>6</v>
      </c>
      <c r="G1091" s="19">
        <v>66</v>
      </c>
      <c r="H1091" t="s">
        <v>61</v>
      </c>
      <c r="I1091">
        <v>2023</v>
      </c>
    </row>
    <row r="1092" spans="1:9" x14ac:dyDescent="0.3">
      <c r="A1092">
        <v>154173057</v>
      </c>
      <c r="B1092" s="1">
        <v>44956</v>
      </c>
      <c r="C1092" s="1">
        <v>44961</v>
      </c>
      <c r="D1092" t="s">
        <v>7</v>
      </c>
      <c r="E1092">
        <v>39</v>
      </c>
      <c r="F1092" t="s">
        <v>6</v>
      </c>
      <c r="G1092" s="19">
        <v>5</v>
      </c>
      <c r="H1092" t="s">
        <v>61</v>
      </c>
      <c r="I1092">
        <v>2023</v>
      </c>
    </row>
    <row r="1093" spans="1:9" x14ac:dyDescent="0.3">
      <c r="A1093">
        <v>153199550</v>
      </c>
      <c r="B1093" s="1">
        <v>44956</v>
      </c>
      <c r="C1093" s="1">
        <v>44959</v>
      </c>
      <c r="D1093" t="s">
        <v>7</v>
      </c>
      <c r="E1093">
        <v>39</v>
      </c>
      <c r="F1093" t="s">
        <v>6</v>
      </c>
      <c r="G1093" s="19">
        <v>3</v>
      </c>
      <c r="H1093" t="s">
        <v>61</v>
      </c>
      <c r="I1093">
        <v>2023</v>
      </c>
    </row>
    <row r="1094" spans="1:9" x14ac:dyDescent="0.3">
      <c r="A1094">
        <v>199302158</v>
      </c>
      <c r="B1094" s="1">
        <v>44956</v>
      </c>
      <c r="C1094" s="1">
        <v>44959</v>
      </c>
      <c r="D1094" t="s">
        <v>7</v>
      </c>
      <c r="E1094">
        <v>39</v>
      </c>
      <c r="F1094" t="s">
        <v>6</v>
      </c>
      <c r="G1094" s="19">
        <v>3</v>
      </c>
      <c r="H1094" t="s">
        <v>61</v>
      </c>
      <c r="I1094">
        <v>2023</v>
      </c>
    </row>
    <row r="1095" spans="1:9" x14ac:dyDescent="0.3">
      <c r="A1095">
        <v>187482966</v>
      </c>
      <c r="B1095" s="1">
        <v>44956</v>
      </c>
      <c r="C1095" s="1">
        <v>45147</v>
      </c>
      <c r="D1095" t="s">
        <v>7</v>
      </c>
      <c r="E1095">
        <v>39</v>
      </c>
      <c r="F1095" t="s">
        <v>6</v>
      </c>
      <c r="G1095" s="19">
        <v>191</v>
      </c>
      <c r="H1095" t="s">
        <v>61</v>
      </c>
      <c r="I1095">
        <v>2023</v>
      </c>
    </row>
    <row r="1096" spans="1:9" x14ac:dyDescent="0.3">
      <c r="A1096">
        <v>168436547</v>
      </c>
      <c r="B1096" s="1">
        <v>44956</v>
      </c>
      <c r="C1096" s="1">
        <v>45127</v>
      </c>
      <c r="D1096" t="s">
        <v>7</v>
      </c>
      <c r="E1096">
        <v>39</v>
      </c>
      <c r="F1096" t="s">
        <v>6</v>
      </c>
      <c r="G1096" s="19">
        <v>171</v>
      </c>
      <c r="H1096" t="s">
        <v>61</v>
      </c>
      <c r="I1096">
        <v>2023</v>
      </c>
    </row>
    <row r="1097" spans="1:9" x14ac:dyDescent="0.3">
      <c r="A1097">
        <v>195007481</v>
      </c>
      <c r="B1097" s="1">
        <v>44957</v>
      </c>
      <c r="D1097" t="s">
        <v>7</v>
      </c>
      <c r="E1097">
        <v>39</v>
      </c>
      <c r="F1097" t="s">
        <v>6</v>
      </c>
      <c r="H1097" t="s">
        <v>62</v>
      </c>
      <c r="I1097">
        <v>2023</v>
      </c>
    </row>
    <row r="1098" spans="1:9" x14ac:dyDescent="0.3">
      <c r="A1098">
        <v>181830574</v>
      </c>
      <c r="B1098" s="1">
        <v>44957</v>
      </c>
      <c r="D1098" t="s">
        <v>7</v>
      </c>
      <c r="E1098">
        <v>39</v>
      </c>
      <c r="F1098" t="s">
        <v>6</v>
      </c>
      <c r="H1098" t="s">
        <v>62</v>
      </c>
      <c r="I1098">
        <v>2023</v>
      </c>
    </row>
    <row r="1099" spans="1:9" x14ac:dyDescent="0.3">
      <c r="A1099">
        <v>198691553</v>
      </c>
      <c r="B1099" s="1">
        <v>44957</v>
      </c>
      <c r="D1099" t="s">
        <v>7</v>
      </c>
      <c r="E1099">
        <v>39</v>
      </c>
      <c r="F1099" t="s">
        <v>6</v>
      </c>
      <c r="H1099" t="s">
        <v>62</v>
      </c>
      <c r="I1099">
        <v>2023</v>
      </c>
    </row>
    <row r="1100" spans="1:9" x14ac:dyDescent="0.3">
      <c r="A1100">
        <v>200001674</v>
      </c>
      <c r="B1100" s="1">
        <v>44957</v>
      </c>
      <c r="C1100" s="1">
        <v>45074</v>
      </c>
      <c r="D1100" t="s">
        <v>7</v>
      </c>
      <c r="E1100">
        <v>39</v>
      </c>
      <c r="F1100" t="s">
        <v>6</v>
      </c>
      <c r="G1100" s="19">
        <v>117</v>
      </c>
      <c r="H1100" t="s">
        <v>62</v>
      </c>
      <c r="I1100">
        <v>2023</v>
      </c>
    </row>
    <row r="1101" spans="1:9" x14ac:dyDescent="0.3">
      <c r="A1101">
        <v>200252155</v>
      </c>
      <c r="B1101" s="1">
        <v>44957</v>
      </c>
      <c r="C1101" s="1">
        <v>45084</v>
      </c>
      <c r="D1101" t="s">
        <v>7</v>
      </c>
      <c r="E1101">
        <v>39</v>
      </c>
      <c r="F1101" t="s">
        <v>6</v>
      </c>
      <c r="G1101" s="19">
        <v>127</v>
      </c>
      <c r="H1101" t="s">
        <v>62</v>
      </c>
      <c r="I1101">
        <v>2023</v>
      </c>
    </row>
    <row r="1102" spans="1:9" x14ac:dyDescent="0.3">
      <c r="A1102">
        <v>188206991</v>
      </c>
      <c r="B1102" s="1">
        <v>44957</v>
      </c>
      <c r="C1102" s="1">
        <v>45033</v>
      </c>
      <c r="D1102" t="s">
        <v>7</v>
      </c>
      <c r="E1102">
        <v>39</v>
      </c>
      <c r="F1102" t="s">
        <v>6</v>
      </c>
      <c r="G1102" s="19">
        <v>76</v>
      </c>
      <c r="H1102" t="s">
        <v>62</v>
      </c>
      <c r="I1102">
        <v>2023</v>
      </c>
    </row>
    <row r="1103" spans="1:9" x14ac:dyDescent="0.3">
      <c r="A1103">
        <v>184330352</v>
      </c>
      <c r="B1103" s="1">
        <v>44957</v>
      </c>
      <c r="C1103" s="1">
        <v>45046</v>
      </c>
      <c r="D1103" t="s">
        <v>7</v>
      </c>
      <c r="E1103">
        <v>39</v>
      </c>
      <c r="F1103" t="s">
        <v>6</v>
      </c>
      <c r="G1103" s="19">
        <v>89</v>
      </c>
      <c r="H1103" t="s">
        <v>62</v>
      </c>
      <c r="I1103">
        <v>2023</v>
      </c>
    </row>
    <row r="1104" spans="1:9" x14ac:dyDescent="0.3">
      <c r="A1104">
        <v>198701510</v>
      </c>
      <c r="B1104" s="1">
        <v>44957</v>
      </c>
      <c r="C1104" s="1">
        <v>45031</v>
      </c>
      <c r="D1104" t="s">
        <v>7</v>
      </c>
      <c r="E1104">
        <v>39</v>
      </c>
      <c r="F1104" t="s">
        <v>6</v>
      </c>
      <c r="G1104" s="19">
        <v>74</v>
      </c>
      <c r="H1104" t="s">
        <v>62</v>
      </c>
      <c r="I1104">
        <v>2023</v>
      </c>
    </row>
    <row r="1105" spans="1:9" x14ac:dyDescent="0.3">
      <c r="A1105">
        <v>164909402</v>
      </c>
      <c r="B1105" s="1">
        <v>44957</v>
      </c>
      <c r="C1105" s="1">
        <v>44984</v>
      </c>
      <c r="D1105" t="s">
        <v>7</v>
      </c>
      <c r="E1105">
        <v>39</v>
      </c>
      <c r="F1105" t="s">
        <v>6</v>
      </c>
      <c r="G1105" s="19">
        <v>27</v>
      </c>
      <c r="H1105" t="s">
        <v>62</v>
      </c>
      <c r="I1105">
        <v>2023</v>
      </c>
    </row>
    <row r="1106" spans="1:9" x14ac:dyDescent="0.3">
      <c r="A1106">
        <v>126737063</v>
      </c>
      <c r="B1106" s="1">
        <v>44957</v>
      </c>
      <c r="C1106" s="1">
        <v>45156</v>
      </c>
      <c r="D1106" t="s">
        <v>7</v>
      </c>
      <c r="E1106">
        <v>39</v>
      </c>
      <c r="F1106" t="s">
        <v>6</v>
      </c>
      <c r="G1106" s="19">
        <v>199</v>
      </c>
      <c r="H1106" t="s">
        <v>62</v>
      </c>
      <c r="I1106">
        <v>2023</v>
      </c>
    </row>
    <row r="1107" spans="1:9" x14ac:dyDescent="0.3">
      <c r="A1107">
        <v>194472898</v>
      </c>
      <c r="B1107" s="1">
        <v>44958</v>
      </c>
      <c r="D1107" t="s">
        <v>7</v>
      </c>
      <c r="E1107">
        <v>39</v>
      </c>
      <c r="F1107" t="s">
        <v>6</v>
      </c>
      <c r="H1107" t="s">
        <v>63</v>
      </c>
      <c r="I1107">
        <v>2023</v>
      </c>
    </row>
    <row r="1108" spans="1:9" x14ac:dyDescent="0.3">
      <c r="A1108">
        <v>200962065</v>
      </c>
      <c r="B1108" s="1">
        <v>44958</v>
      </c>
      <c r="D1108" t="s">
        <v>7</v>
      </c>
      <c r="E1108">
        <v>39</v>
      </c>
      <c r="F1108" t="s">
        <v>6</v>
      </c>
      <c r="H1108" t="s">
        <v>63</v>
      </c>
      <c r="I1108">
        <v>2023</v>
      </c>
    </row>
    <row r="1109" spans="1:9" x14ac:dyDescent="0.3">
      <c r="A1109">
        <v>196821289</v>
      </c>
      <c r="B1109" s="1">
        <v>44958</v>
      </c>
      <c r="D1109" t="s">
        <v>7</v>
      </c>
      <c r="E1109">
        <v>39</v>
      </c>
      <c r="F1109" t="s">
        <v>6</v>
      </c>
      <c r="H1109" t="s">
        <v>63</v>
      </c>
      <c r="I1109">
        <v>2023</v>
      </c>
    </row>
    <row r="1110" spans="1:9" x14ac:dyDescent="0.3">
      <c r="A1110">
        <v>200867442</v>
      </c>
      <c r="B1110" s="1">
        <v>44958</v>
      </c>
      <c r="D1110" t="s">
        <v>7</v>
      </c>
      <c r="E1110">
        <v>39</v>
      </c>
      <c r="F1110" t="s">
        <v>6</v>
      </c>
      <c r="H1110" t="s">
        <v>63</v>
      </c>
      <c r="I1110">
        <v>2023</v>
      </c>
    </row>
    <row r="1111" spans="1:9" x14ac:dyDescent="0.3">
      <c r="A1111">
        <v>187855576</v>
      </c>
      <c r="B1111" s="1">
        <v>44958</v>
      </c>
      <c r="D1111" t="s">
        <v>7</v>
      </c>
      <c r="E1111">
        <v>39</v>
      </c>
      <c r="F1111" t="s">
        <v>6</v>
      </c>
      <c r="H1111" t="s">
        <v>63</v>
      </c>
      <c r="I1111">
        <v>2023</v>
      </c>
    </row>
    <row r="1112" spans="1:9" x14ac:dyDescent="0.3">
      <c r="A1112">
        <v>198475060</v>
      </c>
      <c r="B1112" s="1">
        <v>44958</v>
      </c>
      <c r="C1112" s="1">
        <v>44959</v>
      </c>
      <c r="D1112" t="s">
        <v>8</v>
      </c>
      <c r="E1112">
        <v>39</v>
      </c>
      <c r="F1112" t="s">
        <v>6</v>
      </c>
      <c r="G1112" s="19">
        <v>1</v>
      </c>
      <c r="H1112" t="s">
        <v>63</v>
      </c>
      <c r="I1112">
        <v>2023</v>
      </c>
    </row>
    <row r="1113" spans="1:9" x14ac:dyDescent="0.3">
      <c r="A1113">
        <v>137201021</v>
      </c>
      <c r="B1113" s="1">
        <v>44958</v>
      </c>
      <c r="C1113" s="1">
        <v>45106</v>
      </c>
      <c r="D1113" t="s">
        <v>7</v>
      </c>
      <c r="E1113">
        <v>39</v>
      </c>
      <c r="F1113" t="s">
        <v>6</v>
      </c>
      <c r="G1113" s="19">
        <v>148</v>
      </c>
      <c r="H1113" t="s">
        <v>63</v>
      </c>
      <c r="I1113">
        <v>2023</v>
      </c>
    </row>
    <row r="1114" spans="1:9" x14ac:dyDescent="0.3">
      <c r="A1114">
        <v>192942271</v>
      </c>
      <c r="B1114" s="1">
        <v>44958</v>
      </c>
      <c r="C1114" s="1">
        <v>45104</v>
      </c>
      <c r="D1114" t="s">
        <v>7</v>
      </c>
      <c r="E1114">
        <v>39</v>
      </c>
      <c r="F1114" t="s">
        <v>6</v>
      </c>
      <c r="G1114" s="19">
        <v>146</v>
      </c>
      <c r="H1114" t="s">
        <v>63</v>
      </c>
      <c r="I1114">
        <v>2023</v>
      </c>
    </row>
    <row r="1115" spans="1:9" x14ac:dyDescent="0.3">
      <c r="A1115">
        <v>155088727</v>
      </c>
      <c r="B1115" s="1">
        <v>44958</v>
      </c>
      <c r="C1115" s="1">
        <v>45071</v>
      </c>
      <c r="D1115" t="s">
        <v>7</v>
      </c>
      <c r="E1115">
        <v>39</v>
      </c>
      <c r="F1115" t="s">
        <v>6</v>
      </c>
      <c r="G1115" s="19">
        <v>113</v>
      </c>
      <c r="H1115" t="s">
        <v>63</v>
      </c>
      <c r="I1115">
        <v>2023</v>
      </c>
    </row>
    <row r="1116" spans="1:9" x14ac:dyDescent="0.3">
      <c r="A1116">
        <v>145416349</v>
      </c>
      <c r="B1116" s="1">
        <v>44958</v>
      </c>
      <c r="C1116" s="1">
        <v>45047</v>
      </c>
      <c r="D1116" t="s">
        <v>7</v>
      </c>
      <c r="E1116">
        <v>39</v>
      </c>
      <c r="F1116" t="s">
        <v>6</v>
      </c>
      <c r="G1116" s="19">
        <v>89</v>
      </c>
      <c r="H1116" t="s">
        <v>63</v>
      </c>
      <c r="I1116">
        <v>2023</v>
      </c>
    </row>
    <row r="1117" spans="1:9" x14ac:dyDescent="0.3">
      <c r="A1117">
        <v>154064672</v>
      </c>
      <c r="B1117" s="1">
        <v>44958</v>
      </c>
      <c r="C1117" s="1">
        <v>45041</v>
      </c>
      <c r="D1117" t="s">
        <v>7</v>
      </c>
      <c r="E1117">
        <v>39</v>
      </c>
      <c r="F1117" t="s">
        <v>6</v>
      </c>
      <c r="G1117" s="19">
        <v>83</v>
      </c>
      <c r="H1117" t="s">
        <v>63</v>
      </c>
      <c r="I1117">
        <v>2023</v>
      </c>
    </row>
    <row r="1118" spans="1:9" x14ac:dyDescent="0.3">
      <c r="A1118">
        <v>174670793</v>
      </c>
      <c r="B1118" s="1">
        <v>44958</v>
      </c>
      <c r="C1118" s="1">
        <v>45039</v>
      </c>
      <c r="D1118" t="s">
        <v>7</v>
      </c>
      <c r="E1118">
        <v>39</v>
      </c>
      <c r="F1118" t="s">
        <v>6</v>
      </c>
      <c r="G1118" s="19">
        <v>81</v>
      </c>
      <c r="H1118" t="s">
        <v>63</v>
      </c>
      <c r="I1118">
        <v>2023</v>
      </c>
    </row>
    <row r="1119" spans="1:9" x14ac:dyDescent="0.3">
      <c r="A1119">
        <v>200600365</v>
      </c>
      <c r="B1119" s="1">
        <v>44958</v>
      </c>
      <c r="C1119" s="1">
        <v>45029</v>
      </c>
      <c r="D1119" t="s">
        <v>7</v>
      </c>
      <c r="E1119">
        <v>39</v>
      </c>
      <c r="F1119" t="s">
        <v>6</v>
      </c>
      <c r="G1119" s="19">
        <v>71</v>
      </c>
      <c r="H1119" t="s">
        <v>63</v>
      </c>
      <c r="I1119">
        <v>2023</v>
      </c>
    </row>
    <row r="1120" spans="1:9" x14ac:dyDescent="0.3">
      <c r="A1120">
        <v>196253752</v>
      </c>
      <c r="B1120" s="1">
        <v>44958</v>
      </c>
      <c r="C1120" s="1">
        <v>44976</v>
      </c>
      <c r="D1120" t="s">
        <v>7</v>
      </c>
      <c r="E1120">
        <v>39</v>
      </c>
      <c r="F1120" t="s">
        <v>6</v>
      </c>
      <c r="G1120" s="19">
        <v>18</v>
      </c>
      <c r="H1120" t="s">
        <v>63</v>
      </c>
      <c r="I1120">
        <v>2023</v>
      </c>
    </row>
    <row r="1121" spans="1:9" x14ac:dyDescent="0.3">
      <c r="A1121">
        <v>148710722</v>
      </c>
      <c r="B1121" s="1">
        <v>44958</v>
      </c>
      <c r="C1121" s="1">
        <v>44960</v>
      </c>
      <c r="D1121" t="s">
        <v>7</v>
      </c>
      <c r="E1121">
        <v>39</v>
      </c>
      <c r="F1121" t="s">
        <v>6</v>
      </c>
      <c r="G1121" s="19">
        <v>2</v>
      </c>
      <c r="H1121" t="s">
        <v>63</v>
      </c>
      <c r="I1121">
        <v>2023</v>
      </c>
    </row>
    <row r="1122" spans="1:9" x14ac:dyDescent="0.3">
      <c r="A1122">
        <v>201015936</v>
      </c>
      <c r="B1122" s="1">
        <v>44958</v>
      </c>
      <c r="C1122" s="1">
        <v>44971</v>
      </c>
      <c r="D1122" t="s">
        <v>7</v>
      </c>
      <c r="E1122">
        <v>39</v>
      </c>
      <c r="F1122" t="s">
        <v>6</v>
      </c>
      <c r="G1122" s="19">
        <v>13</v>
      </c>
      <c r="H1122" t="s">
        <v>63</v>
      </c>
      <c r="I1122">
        <v>2023</v>
      </c>
    </row>
    <row r="1123" spans="1:9" x14ac:dyDescent="0.3">
      <c r="A1123">
        <v>200766423</v>
      </c>
      <c r="B1123" s="1">
        <v>44958</v>
      </c>
      <c r="C1123" s="1">
        <v>44963</v>
      </c>
      <c r="D1123" t="s">
        <v>7</v>
      </c>
      <c r="E1123">
        <v>39</v>
      </c>
      <c r="F1123" t="s">
        <v>6</v>
      </c>
      <c r="G1123" s="19">
        <v>5</v>
      </c>
      <c r="H1123" t="s">
        <v>63</v>
      </c>
      <c r="I1123">
        <v>2023</v>
      </c>
    </row>
    <row r="1124" spans="1:9" x14ac:dyDescent="0.3">
      <c r="A1124">
        <v>188152753</v>
      </c>
      <c r="B1124" s="1">
        <v>44958</v>
      </c>
      <c r="C1124" s="1">
        <v>44995</v>
      </c>
      <c r="D1124" t="s">
        <v>7</v>
      </c>
      <c r="E1124">
        <v>39</v>
      </c>
      <c r="F1124" t="s">
        <v>6</v>
      </c>
      <c r="G1124" s="19">
        <v>37</v>
      </c>
      <c r="H1124" t="s">
        <v>63</v>
      </c>
      <c r="I1124">
        <v>2023</v>
      </c>
    </row>
    <row r="1125" spans="1:9" x14ac:dyDescent="0.3">
      <c r="A1125">
        <v>194406214</v>
      </c>
      <c r="B1125" s="1">
        <v>44958</v>
      </c>
      <c r="C1125" s="1">
        <v>45149</v>
      </c>
      <c r="D1125" t="s">
        <v>7</v>
      </c>
      <c r="E1125">
        <v>39</v>
      </c>
      <c r="F1125" t="s">
        <v>6</v>
      </c>
      <c r="G1125" s="19">
        <v>191</v>
      </c>
      <c r="H1125" t="s">
        <v>63</v>
      </c>
      <c r="I1125">
        <v>2023</v>
      </c>
    </row>
    <row r="1126" spans="1:9" x14ac:dyDescent="0.3">
      <c r="A1126">
        <v>199388324</v>
      </c>
      <c r="B1126" s="1">
        <v>44959</v>
      </c>
      <c r="D1126" t="s">
        <v>7</v>
      </c>
      <c r="E1126">
        <v>39</v>
      </c>
      <c r="F1126" t="s">
        <v>6</v>
      </c>
      <c r="H1126" t="s">
        <v>64</v>
      </c>
      <c r="I1126">
        <v>2023</v>
      </c>
    </row>
    <row r="1127" spans="1:9" x14ac:dyDescent="0.3">
      <c r="A1127">
        <v>202030516</v>
      </c>
      <c r="B1127" s="1">
        <v>44959</v>
      </c>
      <c r="D1127" t="s">
        <v>7</v>
      </c>
      <c r="E1127">
        <v>39</v>
      </c>
      <c r="F1127" t="s">
        <v>6</v>
      </c>
      <c r="H1127" t="s">
        <v>64</v>
      </c>
      <c r="I1127">
        <v>2023</v>
      </c>
    </row>
    <row r="1128" spans="1:9" x14ac:dyDescent="0.3">
      <c r="A1128">
        <v>196926212</v>
      </c>
      <c r="B1128" s="1">
        <v>44959</v>
      </c>
      <c r="D1128" t="s">
        <v>7</v>
      </c>
      <c r="E1128">
        <v>39</v>
      </c>
      <c r="F1128" t="s">
        <v>6</v>
      </c>
      <c r="H1128" t="s">
        <v>64</v>
      </c>
      <c r="I1128">
        <v>2023</v>
      </c>
    </row>
    <row r="1129" spans="1:9" x14ac:dyDescent="0.3">
      <c r="A1129">
        <v>199374328</v>
      </c>
      <c r="B1129" s="1">
        <v>44959</v>
      </c>
      <c r="C1129" s="1">
        <v>45113</v>
      </c>
      <c r="D1129" t="s">
        <v>7</v>
      </c>
      <c r="E1129">
        <v>39</v>
      </c>
      <c r="F1129" t="s">
        <v>6</v>
      </c>
      <c r="G1129" s="19">
        <v>154</v>
      </c>
      <c r="H1129" t="s">
        <v>64</v>
      </c>
      <c r="I1129">
        <v>2023</v>
      </c>
    </row>
    <row r="1130" spans="1:9" x14ac:dyDescent="0.3">
      <c r="A1130">
        <v>201313318</v>
      </c>
      <c r="B1130" s="1">
        <v>44959</v>
      </c>
      <c r="C1130" s="1">
        <v>45076</v>
      </c>
      <c r="D1130" t="s">
        <v>7</v>
      </c>
      <c r="E1130">
        <v>39</v>
      </c>
      <c r="F1130" t="s">
        <v>6</v>
      </c>
      <c r="G1130" s="19">
        <v>117</v>
      </c>
      <c r="H1130" t="s">
        <v>64</v>
      </c>
      <c r="I1130">
        <v>2023</v>
      </c>
    </row>
    <row r="1131" spans="1:9" x14ac:dyDescent="0.3">
      <c r="A1131">
        <v>200960179</v>
      </c>
      <c r="B1131" s="1">
        <v>44959</v>
      </c>
      <c r="C1131" s="1">
        <v>45077</v>
      </c>
      <c r="D1131" t="s">
        <v>7</v>
      </c>
      <c r="E1131">
        <v>39</v>
      </c>
      <c r="F1131" t="s">
        <v>6</v>
      </c>
      <c r="G1131" s="19">
        <v>118</v>
      </c>
      <c r="H1131" t="s">
        <v>64</v>
      </c>
      <c r="I1131">
        <v>2023</v>
      </c>
    </row>
    <row r="1132" spans="1:9" x14ac:dyDescent="0.3">
      <c r="A1132">
        <v>180890046</v>
      </c>
      <c r="B1132" s="1">
        <v>44959</v>
      </c>
      <c r="C1132" s="1">
        <v>45073</v>
      </c>
      <c r="D1132" t="s">
        <v>7</v>
      </c>
      <c r="E1132">
        <v>39</v>
      </c>
      <c r="F1132" t="s">
        <v>6</v>
      </c>
      <c r="G1132" s="19">
        <v>114</v>
      </c>
      <c r="H1132" t="s">
        <v>64</v>
      </c>
      <c r="I1132">
        <v>2023</v>
      </c>
    </row>
    <row r="1133" spans="1:9" x14ac:dyDescent="0.3">
      <c r="A1133">
        <v>159227956</v>
      </c>
      <c r="B1133" s="1">
        <v>44959</v>
      </c>
      <c r="C1133" s="1">
        <v>45055</v>
      </c>
      <c r="D1133" t="s">
        <v>7</v>
      </c>
      <c r="E1133">
        <v>39</v>
      </c>
      <c r="F1133" t="s">
        <v>6</v>
      </c>
      <c r="G1133" s="19">
        <v>96</v>
      </c>
      <c r="H1133" t="s">
        <v>64</v>
      </c>
      <c r="I1133">
        <v>2023</v>
      </c>
    </row>
    <row r="1134" spans="1:9" x14ac:dyDescent="0.3">
      <c r="A1134">
        <v>182325407</v>
      </c>
      <c r="B1134" s="1">
        <v>44959</v>
      </c>
      <c r="C1134" s="1">
        <v>45019</v>
      </c>
      <c r="D1134" t="s">
        <v>7</v>
      </c>
      <c r="E1134">
        <v>39</v>
      </c>
      <c r="F1134" t="s">
        <v>6</v>
      </c>
      <c r="G1134" s="19">
        <v>60</v>
      </c>
      <c r="H1134" t="s">
        <v>64</v>
      </c>
      <c r="I1134">
        <v>2023</v>
      </c>
    </row>
    <row r="1135" spans="1:9" x14ac:dyDescent="0.3">
      <c r="A1135">
        <v>194828965</v>
      </c>
      <c r="B1135" s="1">
        <v>44959</v>
      </c>
      <c r="C1135" s="1">
        <v>45018</v>
      </c>
      <c r="D1135" t="s">
        <v>7</v>
      </c>
      <c r="E1135">
        <v>39</v>
      </c>
      <c r="F1135" t="s">
        <v>6</v>
      </c>
      <c r="G1135" s="19">
        <v>59</v>
      </c>
      <c r="H1135" t="s">
        <v>64</v>
      </c>
      <c r="I1135">
        <v>2023</v>
      </c>
    </row>
    <row r="1136" spans="1:9" x14ac:dyDescent="0.3">
      <c r="A1136">
        <v>202139613</v>
      </c>
      <c r="B1136" s="1">
        <v>44959</v>
      </c>
      <c r="C1136" s="1">
        <v>44991</v>
      </c>
      <c r="D1136" t="s">
        <v>7</v>
      </c>
      <c r="E1136">
        <v>39</v>
      </c>
      <c r="F1136" t="s">
        <v>6</v>
      </c>
      <c r="G1136" s="19">
        <v>32</v>
      </c>
      <c r="H1136" t="s">
        <v>64</v>
      </c>
      <c r="I1136">
        <v>2023</v>
      </c>
    </row>
    <row r="1137" spans="1:9" x14ac:dyDescent="0.3">
      <c r="A1137">
        <v>202137510</v>
      </c>
      <c r="B1137" s="1">
        <v>44959</v>
      </c>
      <c r="C1137" s="1">
        <v>44995</v>
      </c>
      <c r="D1137" t="s">
        <v>7</v>
      </c>
      <c r="E1137">
        <v>39</v>
      </c>
      <c r="F1137" t="s">
        <v>6</v>
      </c>
      <c r="G1137" s="19">
        <v>36</v>
      </c>
      <c r="H1137" t="s">
        <v>64</v>
      </c>
      <c r="I1137">
        <v>2023</v>
      </c>
    </row>
    <row r="1138" spans="1:9" x14ac:dyDescent="0.3">
      <c r="A1138">
        <v>201182176</v>
      </c>
      <c r="B1138" s="1">
        <v>44959</v>
      </c>
      <c r="C1138" s="1">
        <v>44987</v>
      </c>
      <c r="D1138" t="s">
        <v>7</v>
      </c>
      <c r="E1138">
        <v>39</v>
      </c>
      <c r="F1138" t="s">
        <v>6</v>
      </c>
      <c r="G1138" s="19">
        <v>28</v>
      </c>
      <c r="H1138" t="s">
        <v>64</v>
      </c>
      <c r="I1138">
        <v>2023</v>
      </c>
    </row>
    <row r="1139" spans="1:9" x14ac:dyDescent="0.3">
      <c r="A1139">
        <v>202010803</v>
      </c>
      <c r="B1139" s="1">
        <v>44959</v>
      </c>
      <c r="C1139" s="1">
        <v>44986</v>
      </c>
      <c r="D1139" t="s">
        <v>7</v>
      </c>
      <c r="E1139">
        <v>39</v>
      </c>
      <c r="F1139" t="s">
        <v>6</v>
      </c>
      <c r="G1139" s="19">
        <v>27</v>
      </c>
      <c r="H1139" t="s">
        <v>64</v>
      </c>
      <c r="I1139">
        <v>2023</v>
      </c>
    </row>
    <row r="1140" spans="1:9" x14ac:dyDescent="0.3">
      <c r="A1140">
        <v>131734107</v>
      </c>
      <c r="B1140" s="1">
        <v>44960</v>
      </c>
      <c r="C1140" s="1">
        <v>45172</v>
      </c>
      <c r="D1140" t="s">
        <v>7</v>
      </c>
      <c r="E1140">
        <v>39</v>
      </c>
      <c r="F1140" t="s">
        <v>6</v>
      </c>
      <c r="G1140" s="19">
        <v>212</v>
      </c>
      <c r="H1140" t="s">
        <v>65</v>
      </c>
      <c r="I1140">
        <v>2023</v>
      </c>
    </row>
    <row r="1141" spans="1:9" x14ac:dyDescent="0.3">
      <c r="A1141">
        <v>202277130</v>
      </c>
      <c r="B1141" s="1">
        <v>44960</v>
      </c>
      <c r="C1141" s="1">
        <v>45017</v>
      </c>
      <c r="D1141" t="s">
        <v>7</v>
      </c>
      <c r="E1141">
        <v>39</v>
      </c>
      <c r="F1141" t="s">
        <v>6</v>
      </c>
      <c r="G1141" s="19">
        <v>57</v>
      </c>
      <c r="H1141" t="s">
        <v>65</v>
      </c>
      <c r="I1141">
        <v>2023</v>
      </c>
    </row>
    <row r="1142" spans="1:9" x14ac:dyDescent="0.3">
      <c r="A1142">
        <v>137196428</v>
      </c>
      <c r="B1142" s="1">
        <v>44960</v>
      </c>
      <c r="C1142" s="1">
        <v>44994</v>
      </c>
      <c r="D1142" t="s">
        <v>7</v>
      </c>
      <c r="E1142">
        <v>39</v>
      </c>
      <c r="F1142" t="s">
        <v>6</v>
      </c>
      <c r="G1142" s="19">
        <v>34</v>
      </c>
      <c r="H1142" t="s">
        <v>65</v>
      </c>
      <c r="I1142">
        <v>2023</v>
      </c>
    </row>
    <row r="1143" spans="1:9" x14ac:dyDescent="0.3">
      <c r="A1143">
        <v>153568282</v>
      </c>
      <c r="B1143" s="1">
        <v>44960</v>
      </c>
      <c r="C1143" s="1">
        <v>44973</v>
      </c>
      <c r="D1143" t="s">
        <v>7</v>
      </c>
      <c r="E1143">
        <v>39</v>
      </c>
      <c r="F1143" t="s">
        <v>6</v>
      </c>
      <c r="G1143" s="19">
        <v>13</v>
      </c>
      <c r="H1143" t="s">
        <v>65</v>
      </c>
      <c r="I1143">
        <v>2023</v>
      </c>
    </row>
    <row r="1144" spans="1:9" x14ac:dyDescent="0.3">
      <c r="A1144">
        <v>199895190</v>
      </c>
      <c r="B1144" s="1">
        <v>44960</v>
      </c>
      <c r="C1144" s="1">
        <v>44998</v>
      </c>
      <c r="D1144" t="s">
        <v>7</v>
      </c>
      <c r="E1144">
        <v>39</v>
      </c>
      <c r="F1144" t="s">
        <v>6</v>
      </c>
      <c r="G1144" s="19">
        <v>38</v>
      </c>
      <c r="H1144" t="s">
        <v>65</v>
      </c>
      <c r="I1144">
        <v>2023</v>
      </c>
    </row>
    <row r="1145" spans="1:9" x14ac:dyDescent="0.3">
      <c r="A1145">
        <v>200894076</v>
      </c>
      <c r="B1145" s="1">
        <v>44960</v>
      </c>
      <c r="C1145" s="1">
        <v>45015</v>
      </c>
      <c r="D1145" t="s">
        <v>7</v>
      </c>
      <c r="E1145">
        <v>39</v>
      </c>
      <c r="F1145" t="s">
        <v>6</v>
      </c>
      <c r="G1145" s="19">
        <v>55</v>
      </c>
      <c r="H1145" t="s">
        <v>65</v>
      </c>
      <c r="I1145">
        <v>2023</v>
      </c>
    </row>
    <row r="1146" spans="1:9" x14ac:dyDescent="0.3">
      <c r="A1146">
        <v>201162862</v>
      </c>
      <c r="B1146" s="1">
        <v>44960</v>
      </c>
      <c r="C1146" s="1">
        <v>44995</v>
      </c>
      <c r="D1146" t="s">
        <v>7</v>
      </c>
      <c r="E1146">
        <v>39</v>
      </c>
      <c r="F1146" t="s">
        <v>6</v>
      </c>
      <c r="G1146" s="19">
        <v>35</v>
      </c>
      <c r="H1146" t="s">
        <v>65</v>
      </c>
      <c r="I1146">
        <v>2023</v>
      </c>
    </row>
    <row r="1147" spans="1:9" x14ac:dyDescent="0.3">
      <c r="A1147">
        <v>198748705</v>
      </c>
      <c r="B1147" s="1">
        <v>44960</v>
      </c>
      <c r="C1147" s="1">
        <v>45011</v>
      </c>
      <c r="D1147" t="s">
        <v>7</v>
      </c>
      <c r="E1147">
        <v>39</v>
      </c>
      <c r="F1147" t="s">
        <v>6</v>
      </c>
      <c r="G1147" s="19">
        <v>51</v>
      </c>
      <c r="H1147" t="s">
        <v>65</v>
      </c>
      <c r="I1147">
        <v>2023</v>
      </c>
    </row>
    <row r="1148" spans="1:9" x14ac:dyDescent="0.3">
      <c r="A1148">
        <v>202308735</v>
      </c>
      <c r="B1148" s="1">
        <v>44960</v>
      </c>
      <c r="C1148" s="1">
        <v>45159</v>
      </c>
      <c r="D1148" t="s">
        <v>7</v>
      </c>
      <c r="E1148">
        <v>39</v>
      </c>
      <c r="F1148" t="s">
        <v>6</v>
      </c>
      <c r="G1148" s="19">
        <v>199</v>
      </c>
      <c r="H1148" t="s">
        <v>65</v>
      </c>
      <c r="I1148">
        <v>2023</v>
      </c>
    </row>
    <row r="1149" spans="1:9" x14ac:dyDescent="0.3">
      <c r="A1149">
        <v>202276540</v>
      </c>
      <c r="B1149" s="1">
        <v>44960</v>
      </c>
      <c r="C1149" s="1">
        <v>45110</v>
      </c>
      <c r="D1149" t="s">
        <v>7</v>
      </c>
      <c r="E1149">
        <v>39</v>
      </c>
      <c r="F1149" t="s">
        <v>6</v>
      </c>
      <c r="G1149" s="19">
        <v>150</v>
      </c>
      <c r="H1149" t="s">
        <v>65</v>
      </c>
      <c r="I1149">
        <v>2023</v>
      </c>
    </row>
    <row r="1150" spans="1:9" x14ac:dyDescent="0.3">
      <c r="A1150">
        <v>202401357</v>
      </c>
      <c r="B1150" s="1">
        <v>44961</v>
      </c>
      <c r="D1150" t="s">
        <v>7</v>
      </c>
      <c r="E1150">
        <v>39</v>
      </c>
      <c r="F1150" t="s">
        <v>6</v>
      </c>
      <c r="H1150" t="s">
        <v>66</v>
      </c>
      <c r="I1150">
        <v>2023</v>
      </c>
    </row>
    <row r="1151" spans="1:9" x14ac:dyDescent="0.3">
      <c r="A1151">
        <v>184539258</v>
      </c>
      <c r="B1151" s="1">
        <v>44961</v>
      </c>
      <c r="C1151" s="1">
        <v>45048</v>
      </c>
      <c r="D1151" t="s">
        <v>7</v>
      </c>
      <c r="E1151">
        <v>39</v>
      </c>
      <c r="F1151" t="s">
        <v>6</v>
      </c>
      <c r="G1151" s="19">
        <v>87</v>
      </c>
      <c r="H1151" t="s">
        <v>66</v>
      </c>
      <c r="I1151">
        <v>2023</v>
      </c>
    </row>
    <row r="1152" spans="1:9" x14ac:dyDescent="0.3">
      <c r="A1152">
        <v>202349754</v>
      </c>
      <c r="B1152" s="1">
        <v>44961</v>
      </c>
      <c r="C1152" s="1">
        <v>45054</v>
      </c>
      <c r="D1152" t="s">
        <v>7</v>
      </c>
      <c r="E1152">
        <v>39</v>
      </c>
      <c r="F1152" t="s">
        <v>6</v>
      </c>
      <c r="G1152" s="19">
        <v>93</v>
      </c>
      <c r="H1152" t="s">
        <v>66</v>
      </c>
      <c r="I1152">
        <v>2023</v>
      </c>
    </row>
    <row r="1153" spans="1:9" x14ac:dyDescent="0.3">
      <c r="A1153">
        <v>202410436</v>
      </c>
      <c r="B1153" s="1">
        <v>44961</v>
      </c>
      <c r="C1153" s="1">
        <v>44982</v>
      </c>
      <c r="D1153" t="s">
        <v>7</v>
      </c>
      <c r="E1153">
        <v>39</v>
      </c>
      <c r="F1153" t="s">
        <v>6</v>
      </c>
      <c r="G1153" s="19">
        <v>21</v>
      </c>
      <c r="H1153" t="s">
        <v>66</v>
      </c>
      <c r="I1153">
        <v>2023</v>
      </c>
    </row>
    <row r="1154" spans="1:9" x14ac:dyDescent="0.3">
      <c r="A1154">
        <v>197151544</v>
      </c>
      <c r="B1154" s="1">
        <v>44961</v>
      </c>
      <c r="C1154" s="1">
        <v>45006</v>
      </c>
      <c r="D1154" t="s">
        <v>7</v>
      </c>
      <c r="E1154">
        <v>39</v>
      </c>
      <c r="F1154" t="s">
        <v>6</v>
      </c>
      <c r="G1154" s="19">
        <v>45</v>
      </c>
      <c r="H1154" t="s">
        <v>66</v>
      </c>
      <c r="I1154">
        <v>2023</v>
      </c>
    </row>
    <row r="1155" spans="1:9" x14ac:dyDescent="0.3">
      <c r="A1155">
        <v>202305934</v>
      </c>
      <c r="B1155" s="1">
        <v>44961</v>
      </c>
      <c r="C1155" s="1">
        <v>45004</v>
      </c>
      <c r="D1155" t="s">
        <v>7</v>
      </c>
      <c r="E1155">
        <v>39</v>
      </c>
      <c r="F1155" t="s">
        <v>6</v>
      </c>
      <c r="G1155" s="19">
        <v>43</v>
      </c>
      <c r="H1155" t="s">
        <v>66</v>
      </c>
      <c r="I1155">
        <v>2023</v>
      </c>
    </row>
    <row r="1156" spans="1:9" x14ac:dyDescent="0.3">
      <c r="A1156">
        <v>202304812</v>
      </c>
      <c r="B1156" s="1">
        <v>44962</v>
      </c>
      <c r="D1156" t="s">
        <v>7</v>
      </c>
      <c r="E1156">
        <v>39</v>
      </c>
      <c r="F1156" t="s">
        <v>6</v>
      </c>
      <c r="H1156" t="s">
        <v>60</v>
      </c>
      <c r="I1156">
        <v>2023</v>
      </c>
    </row>
    <row r="1157" spans="1:9" x14ac:dyDescent="0.3">
      <c r="A1157">
        <v>160030890</v>
      </c>
      <c r="B1157" s="1">
        <v>44962</v>
      </c>
      <c r="D1157" t="s">
        <v>7</v>
      </c>
      <c r="E1157">
        <v>39</v>
      </c>
      <c r="F1157" t="s">
        <v>6</v>
      </c>
      <c r="H1157" t="s">
        <v>60</v>
      </c>
      <c r="I1157">
        <v>2023</v>
      </c>
    </row>
    <row r="1158" spans="1:9" x14ac:dyDescent="0.3">
      <c r="A1158">
        <v>202524608</v>
      </c>
      <c r="B1158" s="1">
        <v>44962</v>
      </c>
      <c r="D1158" t="s">
        <v>7</v>
      </c>
      <c r="E1158">
        <v>39</v>
      </c>
      <c r="F1158" t="s">
        <v>6</v>
      </c>
      <c r="H1158" t="s">
        <v>60</v>
      </c>
      <c r="I1158">
        <v>2023</v>
      </c>
    </row>
    <row r="1159" spans="1:9" x14ac:dyDescent="0.3">
      <c r="A1159">
        <v>198447368</v>
      </c>
      <c r="B1159" s="1">
        <v>44962</v>
      </c>
      <c r="D1159" t="s">
        <v>7</v>
      </c>
      <c r="E1159">
        <v>39</v>
      </c>
      <c r="F1159" t="s">
        <v>6</v>
      </c>
      <c r="H1159" t="s">
        <v>60</v>
      </c>
      <c r="I1159">
        <v>2023</v>
      </c>
    </row>
    <row r="1160" spans="1:9" x14ac:dyDescent="0.3">
      <c r="A1160">
        <v>202458624</v>
      </c>
      <c r="B1160" s="1">
        <v>44962</v>
      </c>
      <c r="D1160" t="s">
        <v>7</v>
      </c>
      <c r="E1160">
        <v>39</v>
      </c>
      <c r="F1160" t="s">
        <v>6</v>
      </c>
      <c r="H1160" t="s">
        <v>60</v>
      </c>
      <c r="I1160">
        <v>2023</v>
      </c>
    </row>
    <row r="1161" spans="1:9" x14ac:dyDescent="0.3">
      <c r="A1161">
        <v>132256211</v>
      </c>
      <c r="B1161" s="1">
        <v>44962</v>
      </c>
      <c r="C1161" s="1">
        <v>44997</v>
      </c>
      <c r="D1161" t="s">
        <v>7</v>
      </c>
      <c r="E1161">
        <v>39</v>
      </c>
      <c r="F1161" t="s">
        <v>6</v>
      </c>
      <c r="G1161" s="19">
        <v>35</v>
      </c>
      <c r="H1161" t="s">
        <v>60</v>
      </c>
      <c r="I1161">
        <v>2023</v>
      </c>
    </row>
    <row r="1162" spans="1:9" x14ac:dyDescent="0.3">
      <c r="A1162">
        <v>202504135</v>
      </c>
      <c r="B1162" s="1">
        <v>44962</v>
      </c>
      <c r="C1162" s="1">
        <v>45089</v>
      </c>
      <c r="D1162" t="s">
        <v>7</v>
      </c>
      <c r="E1162">
        <v>39</v>
      </c>
      <c r="F1162" t="s">
        <v>6</v>
      </c>
      <c r="G1162" s="19">
        <v>127</v>
      </c>
      <c r="H1162" t="s">
        <v>60</v>
      </c>
      <c r="I1162">
        <v>2023</v>
      </c>
    </row>
    <row r="1163" spans="1:9" x14ac:dyDescent="0.3">
      <c r="A1163">
        <v>192182455</v>
      </c>
      <c r="B1163" s="1">
        <v>44962</v>
      </c>
      <c r="C1163" s="1">
        <v>45052</v>
      </c>
      <c r="D1163" t="s">
        <v>7</v>
      </c>
      <c r="E1163">
        <v>39</v>
      </c>
      <c r="F1163" t="s">
        <v>6</v>
      </c>
      <c r="G1163" s="19">
        <v>90</v>
      </c>
      <c r="H1163" t="s">
        <v>60</v>
      </c>
      <c r="I1163">
        <v>2023</v>
      </c>
    </row>
    <row r="1164" spans="1:9" x14ac:dyDescent="0.3">
      <c r="A1164">
        <v>202505276</v>
      </c>
      <c r="B1164" s="1">
        <v>44962</v>
      </c>
      <c r="C1164" s="1">
        <v>44999</v>
      </c>
      <c r="D1164" t="s">
        <v>7</v>
      </c>
      <c r="E1164">
        <v>39</v>
      </c>
      <c r="F1164" t="s">
        <v>6</v>
      </c>
      <c r="G1164" s="19">
        <v>37</v>
      </c>
      <c r="H1164" t="s">
        <v>60</v>
      </c>
      <c r="I1164">
        <v>2023</v>
      </c>
    </row>
    <row r="1165" spans="1:9" x14ac:dyDescent="0.3">
      <c r="A1165">
        <v>152050632</v>
      </c>
      <c r="B1165" s="1">
        <v>44963</v>
      </c>
      <c r="D1165" t="s">
        <v>7</v>
      </c>
      <c r="E1165">
        <v>39</v>
      </c>
      <c r="F1165" t="s">
        <v>6</v>
      </c>
      <c r="H1165" t="s">
        <v>61</v>
      </c>
      <c r="I1165">
        <v>2023</v>
      </c>
    </row>
    <row r="1166" spans="1:9" x14ac:dyDescent="0.3">
      <c r="A1166">
        <v>201313284</v>
      </c>
      <c r="B1166" s="1">
        <v>44963</v>
      </c>
      <c r="D1166" t="s">
        <v>7</v>
      </c>
      <c r="E1166">
        <v>39</v>
      </c>
      <c r="F1166" t="s">
        <v>6</v>
      </c>
      <c r="H1166" t="s">
        <v>61</v>
      </c>
      <c r="I1166">
        <v>2023</v>
      </c>
    </row>
    <row r="1167" spans="1:9" x14ac:dyDescent="0.3">
      <c r="A1167">
        <v>202118292</v>
      </c>
      <c r="B1167" s="1">
        <v>44963</v>
      </c>
      <c r="D1167" t="s">
        <v>7</v>
      </c>
      <c r="E1167">
        <v>39</v>
      </c>
      <c r="F1167" t="s">
        <v>6</v>
      </c>
      <c r="H1167" t="s">
        <v>61</v>
      </c>
      <c r="I1167">
        <v>2023</v>
      </c>
    </row>
    <row r="1168" spans="1:9" x14ac:dyDescent="0.3">
      <c r="A1168">
        <v>202298964</v>
      </c>
      <c r="B1168" s="1">
        <v>44963</v>
      </c>
      <c r="D1168" t="s">
        <v>7</v>
      </c>
      <c r="E1168">
        <v>39</v>
      </c>
      <c r="F1168" t="s">
        <v>6</v>
      </c>
      <c r="H1168" t="s">
        <v>61</v>
      </c>
      <c r="I1168">
        <v>2023</v>
      </c>
    </row>
    <row r="1169" spans="1:9" x14ac:dyDescent="0.3">
      <c r="A1169">
        <v>202496216</v>
      </c>
      <c r="B1169" s="1">
        <v>44963</v>
      </c>
      <c r="D1169" t="s">
        <v>7</v>
      </c>
      <c r="E1169">
        <v>39</v>
      </c>
      <c r="F1169" t="s">
        <v>6</v>
      </c>
      <c r="H1169" t="s">
        <v>61</v>
      </c>
      <c r="I1169">
        <v>2023</v>
      </c>
    </row>
    <row r="1170" spans="1:9" x14ac:dyDescent="0.3">
      <c r="A1170">
        <v>152354478</v>
      </c>
      <c r="B1170" s="1">
        <v>44963</v>
      </c>
      <c r="D1170" t="s">
        <v>7</v>
      </c>
      <c r="E1170">
        <v>39</v>
      </c>
      <c r="F1170" t="s">
        <v>6</v>
      </c>
      <c r="H1170" t="s">
        <v>61</v>
      </c>
      <c r="I1170">
        <v>2023</v>
      </c>
    </row>
    <row r="1171" spans="1:9" x14ac:dyDescent="0.3">
      <c r="A1171">
        <v>200490112</v>
      </c>
      <c r="B1171" s="1">
        <v>44963</v>
      </c>
      <c r="C1171" s="1">
        <v>44964</v>
      </c>
      <c r="D1171" t="s">
        <v>8</v>
      </c>
      <c r="E1171">
        <v>39</v>
      </c>
      <c r="F1171" t="s">
        <v>6</v>
      </c>
      <c r="G1171" s="19">
        <v>1</v>
      </c>
      <c r="H1171" t="s">
        <v>61</v>
      </c>
      <c r="I1171">
        <v>2023</v>
      </c>
    </row>
    <row r="1172" spans="1:9" x14ac:dyDescent="0.3">
      <c r="A1172">
        <v>131310280</v>
      </c>
      <c r="B1172" s="1">
        <v>44963</v>
      </c>
      <c r="C1172" s="1">
        <v>44974</v>
      </c>
      <c r="D1172" t="s">
        <v>7</v>
      </c>
      <c r="E1172">
        <v>39</v>
      </c>
      <c r="F1172" t="s">
        <v>6</v>
      </c>
      <c r="G1172" s="19">
        <v>11</v>
      </c>
      <c r="H1172" t="s">
        <v>61</v>
      </c>
      <c r="I1172">
        <v>2023</v>
      </c>
    </row>
    <row r="1173" spans="1:9" x14ac:dyDescent="0.3">
      <c r="A1173">
        <v>154161250</v>
      </c>
      <c r="B1173" s="1">
        <v>44963</v>
      </c>
      <c r="C1173" s="1">
        <v>45006</v>
      </c>
      <c r="D1173" t="s">
        <v>7</v>
      </c>
      <c r="E1173">
        <v>39</v>
      </c>
      <c r="F1173" t="s">
        <v>6</v>
      </c>
      <c r="G1173" s="19">
        <v>43</v>
      </c>
      <c r="H1173" t="s">
        <v>61</v>
      </c>
      <c r="I1173">
        <v>2023</v>
      </c>
    </row>
    <row r="1174" spans="1:9" x14ac:dyDescent="0.3">
      <c r="A1174">
        <v>150521180</v>
      </c>
      <c r="B1174" s="1">
        <v>44963</v>
      </c>
      <c r="C1174" s="1">
        <v>45082</v>
      </c>
      <c r="D1174" t="s">
        <v>7</v>
      </c>
      <c r="E1174">
        <v>39</v>
      </c>
      <c r="F1174" t="s">
        <v>6</v>
      </c>
      <c r="G1174" s="19">
        <v>119</v>
      </c>
      <c r="H1174" t="s">
        <v>61</v>
      </c>
      <c r="I1174">
        <v>2023</v>
      </c>
    </row>
    <row r="1175" spans="1:9" x14ac:dyDescent="0.3">
      <c r="A1175">
        <v>195280988</v>
      </c>
      <c r="B1175" s="1">
        <v>44963</v>
      </c>
      <c r="C1175" s="1">
        <v>45098</v>
      </c>
      <c r="D1175" t="s">
        <v>7</v>
      </c>
      <c r="E1175">
        <v>39</v>
      </c>
      <c r="F1175" t="s">
        <v>6</v>
      </c>
      <c r="G1175" s="19">
        <v>135</v>
      </c>
      <c r="H1175" t="s">
        <v>61</v>
      </c>
      <c r="I1175">
        <v>2023</v>
      </c>
    </row>
    <row r="1176" spans="1:9" x14ac:dyDescent="0.3">
      <c r="A1176">
        <v>201231494</v>
      </c>
      <c r="B1176" s="1">
        <v>44963</v>
      </c>
      <c r="C1176" s="1">
        <v>45055</v>
      </c>
      <c r="D1176" t="s">
        <v>7</v>
      </c>
      <c r="E1176">
        <v>39</v>
      </c>
      <c r="F1176" t="s">
        <v>6</v>
      </c>
      <c r="G1176" s="19">
        <v>92</v>
      </c>
      <c r="H1176" t="s">
        <v>61</v>
      </c>
      <c r="I1176">
        <v>2023</v>
      </c>
    </row>
    <row r="1177" spans="1:9" x14ac:dyDescent="0.3">
      <c r="A1177">
        <v>199554496</v>
      </c>
      <c r="B1177" s="1">
        <v>44963</v>
      </c>
      <c r="C1177" s="1">
        <v>44965</v>
      </c>
      <c r="D1177" t="s">
        <v>7</v>
      </c>
      <c r="E1177">
        <v>39</v>
      </c>
      <c r="F1177" t="s">
        <v>6</v>
      </c>
      <c r="G1177" s="19">
        <v>2</v>
      </c>
      <c r="H1177" t="s">
        <v>61</v>
      </c>
      <c r="I1177">
        <v>2023</v>
      </c>
    </row>
    <row r="1178" spans="1:9" x14ac:dyDescent="0.3">
      <c r="A1178">
        <v>125747106</v>
      </c>
      <c r="B1178" s="1">
        <v>44963</v>
      </c>
      <c r="C1178" s="1">
        <v>44989</v>
      </c>
      <c r="D1178" t="s">
        <v>7</v>
      </c>
      <c r="E1178">
        <v>39</v>
      </c>
      <c r="F1178" t="s">
        <v>6</v>
      </c>
      <c r="G1178" s="19">
        <v>26</v>
      </c>
      <c r="H1178" t="s">
        <v>61</v>
      </c>
      <c r="I1178">
        <v>2023</v>
      </c>
    </row>
    <row r="1179" spans="1:9" x14ac:dyDescent="0.3">
      <c r="A1179">
        <v>195345030</v>
      </c>
      <c r="B1179" s="1">
        <v>44963</v>
      </c>
      <c r="C1179" s="1">
        <v>44989</v>
      </c>
      <c r="D1179" t="s">
        <v>7</v>
      </c>
      <c r="E1179">
        <v>39</v>
      </c>
      <c r="F1179" t="s">
        <v>6</v>
      </c>
      <c r="G1179" s="19">
        <v>26</v>
      </c>
      <c r="H1179" t="s">
        <v>61</v>
      </c>
      <c r="I1179">
        <v>2023</v>
      </c>
    </row>
    <row r="1180" spans="1:9" x14ac:dyDescent="0.3">
      <c r="A1180">
        <v>202269874</v>
      </c>
      <c r="B1180" s="1">
        <v>44963</v>
      </c>
      <c r="C1180" s="1">
        <v>45010</v>
      </c>
      <c r="D1180" t="s">
        <v>7</v>
      </c>
      <c r="E1180">
        <v>39</v>
      </c>
      <c r="F1180" t="s">
        <v>6</v>
      </c>
      <c r="G1180" s="19">
        <v>47</v>
      </c>
      <c r="H1180" t="s">
        <v>61</v>
      </c>
      <c r="I1180">
        <v>2023</v>
      </c>
    </row>
    <row r="1181" spans="1:9" x14ac:dyDescent="0.3">
      <c r="A1181">
        <v>191036527</v>
      </c>
      <c r="B1181" s="1">
        <v>44963</v>
      </c>
      <c r="C1181" s="1">
        <v>44992</v>
      </c>
      <c r="D1181" t="s">
        <v>7</v>
      </c>
      <c r="E1181">
        <v>39</v>
      </c>
      <c r="F1181" t="s">
        <v>6</v>
      </c>
      <c r="G1181" s="19">
        <v>29</v>
      </c>
      <c r="H1181" t="s">
        <v>61</v>
      </c>
      <c r="I1181">
        <v>2023</v>
      </c>
    </row>
    <row r="1182" spans="1:9" x14ac:dyDescent="0.3">
      <c r="A1182">
        <v>202633556</v>
      </c>
      <c r="B1182" s="1">
        <v>44963</v>
      </c>
      <c r="C1182" s="1">
        <v>44979</v>
      </c>
      <c r="D1182" t="s">
        <v>7</v>
      </c>
      <c r="E1182">
        <v>39</v>
      </c>
      <c r="F1182" t="s">
        <v>6</v>
      </c>
      <c r="G1182" s="19">
        <v>16</v>
      </c>
      <c r="H1182" t="s">
        <v>61</v>
      </c>
      <c r="I1182">
        <v>2023</v>
      </c>
    </row>
    <row r="1183" spans="1:9" x14ac:dyDescent="0.3">
      <c r="A1183">
        <v>202750328</v>
      </c>
      <c r="B1183" s="1">
        <v>44963</v>
      </c>
      <c r="C1183" s="1">
        <v>45140</v>
      </c>
      <c r="D1183" t="s">
        <v>7</v>
      </c>
      <c r="E1183">
        <v>39</v>
      </c>
      <c r="F1183" t="s">
        <v>6</v>
      </c>
      <c r="G1183" s="19">
        <v>177</v>
      </c>
      <c r="H1183" t="s">
        <v>61</v>
      </c>
      <c r="I1183">
        <v>2023</v>
      </c>
    </row>
    <row r="1184" spans="1:9" x14ac:dyDescent="0.3">
      <c r="A1184">
        <v>192781688</v>
      </c>
      <c r="B1184" s="1">
        <v>44964</v>
      </c>
      <c r="D1184" t="s">
        <v>7</v>
      </c>
      <c r="E1184">
        <v>39</v>
      </c>
      <c r="F1184" t="s">
        <v>6</v>
      </c>
      <c r="H1184" t="s">
        <v>62</v>
      </c>
      <c r="I1184">
        <v>2023</v>
      </c>
    </row>
    <row r="1185" spans="1:9" x14ac:dyDescent="0.3">
      <c r="A1185">
        <v>196859472</v>
      </c>
      <c r="B1185" s="1">
        <v>44964</v>
      </c>
      <c r="D1185" t="s">
        <v>7</v>
      </c>
      <c r="E1185">
        <v>39</v>
      </c>
      <c r="F1185" t="s">
        <v>6</v>
      </c>
      <c r="H1185" t="s">
        <v>62</v>
      </c>
      <c r="I1185">
        <v>2023</v>
      </c>
    </row>
    <row r="1186" spans="1:9" x14ac:dyDescent="0.3">
      <c r="A1186">
        <v>200333728</v>
      </c>
      <c r="B1186" s="1">
        <v>44964</v>
      </c>
      <c r="D1186" t="s">
        <v>7</v>
      </c>
      <c r="E1186">
        <v>39</v>
      </c>
      <c r="F1186" t="s">
        <v>6</v>
      </c>
      <c r="H1186" t="s">
        <v>62</v>
      </c>
      <c r="I1186">
        <v>2023</v>
      </c>
    </row>
    <row r="1187" spans="1:9" x14ac:dyDescent="0.3">
      <c r="A1187">
        <v>129896329</v>
      </c>
      <c r="B1187" s="1">
        <v>44964</v>
      </c>
      <c r="D1187" t="s">
        <v>7</v>
      </c>
      <c r="E1187">
        <v>39</v>
      </c>
      <c r="F1187" t="s">
        <v>6</v>
      </c>
      <c r="H1187" t="s">
        <v>62</v>
      </c>
      <c r="I1187">
        <v>2023</v>
      </c>
    </row>
    <row r="1188" spans="1:9" x14ac:dyDescent="0.3">
      <c r="A1188">
        <v>168202891</v>
      </c>
      <c r="B1188" s="1">
        <v>44964</v>
      </c>
      <c r="C1188" s="1">
        <v>44964</v>
      </c>
      <c r="D1188" t="s">
        <v>8</v>
      </c>
      <c r="E1188">
        <v>39</v>
      </c>
      <c r="F1188" t="s">
        <v>6</v>
      </c>
      <c r="G1188" s="19">
        <v>0</v>
      </c>
      <c r="H1188" t="s">
        <v>62</v>
      </c>
      <c r="I1188">
        <v>2023</v>
      </c>
    </row>
    <row r="1189" spans="1:9" x14ac:dyDescent="0.3">
      <c r="A1189">
        <v>202924219</v>
      </c>
      <c r="B1189" s="1">
        <v>44964</v>
      </c>
      <c r="C1189" s="1">
        <v>45097</v>
      </c>
      <c r="D1189" t="s">
        <v>7</v>
      </c>
      <c r="E1189">
        <v>39</v>
      </c>
      <c r="F1189" t="s">
        <v>6</v>
      </c>
      <c r="G1189" s="19">
        <v>133</v>
      </c>
      <c r="H1189" t="s">
        <v>62</v>
      </c>
      <c r="I1189">
        <v>2023</v>
      </c>
    </row>
    <row r="1190" spans="1:9" x14ac:dyDescent="0.3">
      <c r="A1190">
        <v>202863670</v>
      </c>
      <c r="B1190" s="1">
        <v>44964</v>
      </c>
      <c r="C1190" s="1">
        <v>45030</v>
      </c>
      <c r="D1190" t="s">
        <v>7</v>
      </c>
      <c r="E1190">
        <v>39</v>
      </c>
      <c r="F1190" t="s">
        <v>6</v>
      </c>
      <c r="G1190" s="19">
        <v>66</v>
      </c>
      <c r="H1190" t="s">
        <v>62</v>
      </c>
      <c r="I1190">
        <v>2023</v>
      </c>
    </row>
    <row r="1191" spans="1:9" x14ac:dyDescent="0.3">
      <c r="A1191">
        <v>202398629</v>
      </c>
      <c r="B1191" s="1">
        <v>44964</v>
      </c>
      <c r="C1191" s="1">
        <v>44991</v>
      </c>
      <c r="D1191" t="s">
        <v>7</v>
      </c>
      <c r="E1191">
        <v>39</v>
      </c>
      <c r="F1191" t="s">
        <v>6</v>
      </c>
      <c r="G1191" s="19">
        <v>27</v>
      </c>
      <c r="H1191" t="s">
        <v>62</v>
      </c>
      <c r="I1191">
        <v>2023</v>
      </c>
    </row>
    <row r="1192" spans="1:9" x14ac:dyDescent="0.3">
      <c r="A1192">
        <v>188448878</v>
      </c>
      <c r="B1192" s="1">
        <v>44964</v>
      </c>
      <c r="C1192" s="1">
        <v>44964</v>
      </c>
      <c r="D1192" t="s">
        <v>7</v>
      </c>
      <c r="E1192">
        <v>39</v>
      </c>
      <c r="F1192" t="s">
        <v>6</v>
      </c>
      <c r="G1192" s="19">
        <v>0</v>
      </c>
      <c r="H1192" t="s">
        <v>62</v>
      </c>
      <c r="I1192">
        <v>2023</v>
      </c>
    </row>
    <row r="1193" spans="1:9" x14ac:dyDescent="0.3">
      <c r="A1193">
        <v>203254948</v>
      </c>
      <c r="B1193" s="1">
        <v>44965</v>
      </c>
      <c r="D1193" t="s">
        <v>7</v>
      </c>
      <c r="E1193">
        <v>39</v>
      </c>
      <c r="F1193" t="s">
        <v>6</v>
      </c>
      <c r="H1193" t="s">
        <v>63</v>
      </c>
      <c r="I1193">
        <v>2023</v>
      </c>
    </row>
    <row r="1194" spans="1:9" x14ac:dyDescent="0.3">
      <c r="A1194">
        <v>203120229</v>
      </c>
      <c r="B1194" s="1">
        <v>44965</v>
      </c>
      <c r="C1194" s="1">
        <v>45094</v>
      </c>
      <c r="D1194" t="s">
        <v>7</v>
      </c>
      <c r="E1194">
        <v>39</v>
      </c>
      <c r="F1194" t="s">
        <v>6</v>
      </c>
      <c r="G1194" s="19">
        <v>129</v>
      </c>
      <c r="H1194" t="s">
        <v>63</v>
      </c>
      <c r="I1194">
        <v>2023</v>
      </c>
    </row>
    <row r="1195" spans="1:9" x14ac:dyDescent="0.3">
      <c r="A1195">
        <v>203225874</v>
      </c>
      <c r="B1195" s="1">
        <v>44965</v>
      </c>
      <c r="C1195" s="1">
        <v>45050</v>
      </c>
      <c r="D1195" t="s">
        <v>7</v>
      </c>
      <c r="E1195">
        <v>39</v>
      </c>
      <c r="F1195" t="s">
        <v>6</v>
      </c>
      <c r="G1195" s="19">
        <v>85</v>
      </c>
      <c r="H1195" t="s">
        <v>63</v>
      </c>
      <c r="I1195">
        <v>2023</v>
      </c>
    </row>
    <row r="1196" spans="1:9" x14ac:dyDescent="0.3">
      <c r="A1196">
        <v>203107308</v>
      </c>
      <c r="B1196" s="1">
        <v>44965</v>
      </c>
      <c r="C1196" s="1">
        <v>45062</v>
      </c>
      <c r="D1196" t="s">
        <v>7</v>
      </c>
      <c r="E1196">
        <v>39</v>
      </c>
      <c r="F1196" t="s">
        <v>6</v>
      </c>
      <c r="G1196" s="19">
        <v>97</v>
      </c>
      <c r="H1196" t="s">
        <v>63</v>
      </c>
      <c r="I1196">
        <v>2023</v>
      </c>
    </row>
    <row r="1197" spans="1:9" x14ac:dyDescent="0.3">
      <c r="A1197">
        <v>156558244</v>
      </c>
      <c r="B1197" s="1">
        <v>44965</v>
      </c>
      <c r="C1197" s="1">
        <v>45138</v>
      </c>
      <c r="D1197" t="s">
        <v>7</v>
      </c>
      <c r="E1197">
        <v>39</v>
      </c>
      <c r="F1197" t="s">
        <v>6</v>
      </c>
      <c r="G1197" s="19">
        <v>173</v>
      </c>
      <c r="H1197" t="s">
        <v>63</v>
      </c>
      <c r="I1197">
        <v>2023</v>
      </c>
    </row>
    <row r="1198" spans="1:9" x14ac:dyDescent="0.3">
      <c r="A1198">
        <v>194306726</v>
      </c>
      <c r="B1198" s="1">
        <v>44965</v>
      </c>
      <c r="C1198" s="1">
        <v>44986</v>
      </c>
      <c r="D1198" t="s">
        <v>7</v>
      </c>
      <c r="E1198">
        <v>39</v>
      </c>
      <c r="F1198" t="s">
        <v>6</v>
      </c>
      <c r="G1198" s="19">
        <v>21</v>
      </c>
      <c r="H1198" t="s">
        <v>63</v>
      </c>
      <c r="I1198">
        <v>2023</v>
      </c>
    </row>
    <row r="1199" spans="1:9" x14ac:dyDescent="0.3">
      <c r="A1199">
        <v>202410948</v>
      </c>
      <c r="B1199" s="1">
        <v>44965</v>
      </c>
      <c r="C1199" s="1">
        <v>45000</v>
      </c>
      <c r="D1199" t="s">
        <v>7</v>
      </c>
      <c r="E1199">
        <v>39</v>
      </c>
      <c r="F1199" t="s">
        <v>6</v>
      </c>
      <c r="G1199" s="19">
        <v>35</v>
      </c>
      <c r="H1199" t="s">
        <v>63</v>
      </c>
      <c r="I1199">
        <v>2023</v>
      </c>
    </row>
    <row r="1200" spans="1:9" x14ac:dyDescent="0.3">
      <c r="A1200">
        <v>203166018</v>
      </c>
      <c r="B1200" s="1">
        <v>44965</v>
      </c>
      <c r="C1200" s="1">
        <v>44993</v>
      </c>
      <c r="D1200" t="s">
        <v>7</v>
      </c>
      <c r="E1200">
        <v>39</v>
      </c>
      <c r="F1200" t="s">
        <v>6</v>
      </c>
      <c r="G1200" s="19">
        <v>28</v>
      </c>
      <c r="H1200" t="s">
        <v>63</v>
      </c>
      <c r="I1200">
        <v>2023</v>
      </c>
    </row>
    <row r="1201" spans="1:9" x14ac:dyDescent="0.3">
      <c r="A1201">
        <v>203116697</v>
      </c>
      <c r="B1201" s="1">
        <v>44965</v>
      </c>
      <c r="C1201" s="1">
        <v>45008</v>
      </c>
      <c r="D1201" t="s">
        <v>7</v>
      </c>
      <c r="E1201">
        <v>39</v>
      </c>
      <c r="F1201" t="s">
        <v>6</v>
      </c>
      <c r="G1201" s="19">
        <v>43</v>
      </c>
      <c r="H1201" t="s">
        <v>63</v>
      </c>
      <c r="I1201">
        <v>2023</v>
      </c>
    </row>
    <row r="1202" spans="1:9" x14ac:dyDescent="0.3">
      <c r="A1202">
        <v>202982608</v>
      </c>
      <c r="B1202" s="1">
        <v>44965</v>
      </c>
      <c r="C1202" s="1">
        <v>44987</v>
      </c>
      <c r="D1202" t="s">
        <v>7</v>
      </c>
      <c r="E1202">
        <v>39</v>
      </c>
      <c r="F1202" t="s">
        <v>6</v>
      </c>
      <c r="G1202" s="19">
        <v>22</v>
      </c>
      <c r="H1202" t="s">
        <v>63</v>
      </c>
      <c r="I1202">
        <v>2023</v>
      </c>
    </row>
    <row r="1203" spans="1:9" x14ac:dyDescent="0.3">
      <c r="A1203">
        <v>198167700</v>
      </c>
      <c r="B1203" s="1">
        <v>44965</v>
      </c>
      <c r="C1203" s="1">
        <v>44968</v>
      </c>
      <c r="D1203" t="s">
        <v>7</v>
      </c>
      <c r="E1203">
        <v>39</v>
      </c>
      <c r="F1203" t="s">
        <v>6</v>
      </c>
      <c r="G1203" s="19">
        <v>3</v>
      </c>
      <c r="H1203" t="s">
        <v>63</v>
      </c>
      <c r="I1203">
        <v>2023</v>
      </c>
    </row>
    <row r="1204" spans="1:9" x14ac:dyDescent="0.3">
      <c r="A1204">
        <v>190567582</v>
      </c>
      <c r="B1204" s="1">
        <v>44965</v>
      </c>
      <c r="C1204" s="1">
        <v>44979</v>
      </c>
      <c r="D1204" t="s">
        <v>7</v>
      </c>
      <c r="E1204">
        <v>39</v>
      </c>
      <c r="F1204" t="s">
        <v>6</v>
      </c>
      <c r="G1204" s="19">
        <v>14</v>
      </c>
      <c r="H1204" t="s">
        <v>63</v>
      </c>
      <c r="I1204">
        <v>2023</v>
      </c>
    </row>
    <row r="1205" spans="1:9" x14ac:dyDescent="0.3">
      <c r="A1205">
        <v>202699972</v>
      </c>
      <c r="B1205" s="1">
        <v>44965</v>
      </c>
      <c r="C1205" s="1">
        <v>45145</v>
      </c>
      <c r="D1205" t="s">
        <v>7</v>
      </c>
      <c r="E1205">
        <v>39</v>
      </c>
      <c r="F1205" t="s">
        <v>6</v>
      </c>
      <c r="G1205" s="19">
        <v>180</v>
      </c>
      <c r="H1205" t="s">
        <v>63</v>
      </c>
      <c r="I1205">
        <v>2023</v>
      </c>
    </row>
    <row r="1206" spans="1:9" x14ac:dyDescent="0.3">
      <c r="A1206">
        <v>203242766</v>
      </c>
      <c r="B1206" s="1">
        <v>44966</v>
      </c>
      <c r="D1206" t="s">
        <v>7</v>
      </c>
      <c r="E1206">
        <v>39</v>
      </c>
      <c r="F1206" t="s">
        <v>6</v>
      </c>
      <c r="H1206" t="s">
        <v>64</v>
      </c>
      <c r="I1206">
        <v>2023</v>
      </c>
    </row>
    <row r="1207" spans="1:9" x14ac:dyDescent="0.3">
      <c r="A1207">
        <v>203398103</v>
      </c>
      <c r="B1207" s="1">
        <v>44966</v>
      </c>
      <c r="D1207" t="s">
        <v>7</v>
      </c>
      <c r="E1207">
        <v>39</v>
      </c>
      <c r="F1207" t="s">
        <v>6</v>
      </c>
      <c r="H1207" t="s">
        <v>64</v>
      </c>
      <c r="I1207">
        <v>2023</v>
      </c>
    </row>
    <row r="1208" spans="1:9" x14ac:dyDescent="0.3">
      <c r="A1208">
        <v>203243685</v>
      </c>
      <c r="B1208" s="1">
        <v>44966</v>
      </c>
      <c r="D1208" t="s">
        <v>7</v>
      </c>
      <c r="E1208">
        <v>39</v>
      </c>
      <c r="F1208" t="s">
        <v>6</v>
      </c>
      <c r="H1208" t="s">
        <v>64</v>
      </c>
      <c r="I1208">
        <v>2023</v>
      </c>
    </row>
    <row r="1209" spans="1:9" x14ac:dyDescent="0.3">
      <c r="A1209">
        <v>203370322</v>
      </c>
      <c r="B1209" s="1">
        <v>44966</v>
      </c>
      <c r="D1209" t="s">
        <v>7</v>
      </c>
      <c r="E1209">
        <v>39</v>
      </c>
      <c r="F1209" t="s">
        <v>6</v>
      </c>
      <c r="H1209" t="s">
        <v>64</v>
      </c>
      <c r="I1209">
        <v>2023</v>
      </c>
    </row>
    <row r="1210" spans="1:9" x14ac:dyDescent="0.3">
      <c r="A1210">
        <v>138689458</v>
      </c>
      <c r="B1210" s="1">
        <v>44966</v>
      </c>
      <c r="D1210" t="s">
        <v>7</v>
      </c>
      <c r="E1210">
        <v>39</v>
      </c>
      <c r="F1210" t="s">
        <v>6</v>
      </c>
      <c r="H1210" t="s">
        <v>64</v>
      </c>
      <c r="I1210">
        <v>2023</v>
      </c>
    </row>
    <row r="1211" spans="1:9" x14ac:dyDescent="0.3">
      <c r="A1211">
        <v>203315186</v>
      </c>
      <c r="B1211" s="1">
        <v>44966</v>
      </c>
      <c r="D1211" t="s">
        <v>7</v>
      </c>
      <c r="E1211">
        <v>39</v>
      </c>
      <c r="F1211" t="s">
        <v>6</v>
      </c>
      <c r="H1211" t="s">
        <v>64</v>
      </c>
      <c r="I1211">
        <v>2023</v>
      </c>
    </row>
    <row r="1212" spans="1:9" x14ac:dyDescent="0.3">
      <c r="A1212">
        <v>203292575</v>
      </c>
      <c r="B1212" s="1">
        <v>44966</v>
      </c>
      <c r="D1212" t="s">
        <v>7</v>
      </c>
      <c r="E1212">
        <v>39</v>
      </c>
      <c r="F1212" t="s">
        <v>6</v>
      </c>
      <c r="H1212" t="s">
        <v>64</v>
      </c>
      <c r="I1212">
        <v>2023</v>
      </c>
    </row>
    <row r="1213" spans="1:9" x14ac:dyDescent="0.3">
      <c r="A1213">
        <v>144830936</v>
      </c>
      <c r="B1213" s="1">
        <v>44966</v>
      </c>
      <c r="C1213" s="1">
        <v>44967</v>
      </c>
      <c r="D1213" t="s">
        <v>7</v>
      </c>
      <c r="E1213">
        <v>39</v>
      </c>
      <c r="F1213" t="s">
        <v>6</v>
      </c>
      <c r="G1213" s="19">
        <v>1</v>
      </c>
      <c r="H1213" t="s">
        <v>64</v>
      </c>
      <c r="I1213">
        <v>2023</v>
      </c>
    </row>
    <row r="1214" spans="1:9" x14ac:dyDescent="0.3">
      <c r="A1214">
        <v>168980588</v>
      </c>
      <c r="B1214" s="1">
        <v>44966</v>
      </c>
      <c r="C1214" s="1">
        <v>44966</v>
      </c>
      <c r="D1214" t="s">
        <v>8</v>
      </c>
      <c r="E1214">
        <v>39</v>
      </c>
      <c r="F1214" t="s">
        <v>6</v>
      </c>
      <c r="G1214" s="19">
        <v>0</v>
      </c>
      <c r="H1214" t="s">
        <v>64</v>
      </c>
      <c r="I1214">
        <v>2023</v>
      </c>
    </row>
    <row r="1215" spans="1:9" x14ac:dyDescent="0.3">
      <c r="A1215">
        <v>136832520</v>
      </c>
      <c r="B1215" s="1">
        <v>44966</v>
      </c>
      <c r="C1215" s="1">
        <v>44995</v>
      </c>
      <c r="D1215" t="s">
        <v>7</v>
      </c>
      <c r="E1215">
        <v>39</v>
      </c>
      <c r="F1215" t="s">
        <v>6</v>
      </c>
      <c r="G1215" s="19">
        <v>29</v>
      </c>
      <c r="H1215" t="s">
        <v>64</v>
      </c>
      <c r="I1215">
        <v>2023</v>
      </c>
    </row>
    <row r="1216" spans="1:9" x14ac:dyDescent="0.3">
      <c r="A1216">
        <v>202103959</v>
      </c>
      <c r="B1216" s="1">
        <v>44966</v>
      </c>
      <c r="C1216" s="1">
        <v>45073</v>
      </c>
      <c r="D1216" t="s">
        <v>7</v>
      </c>
      <c r="E1216">
        <v>39</v>
      </c>
      <c r="F1216" t="s">
        <v>6</v>
      </c>
      <c r="G1216" s="19">
        <v>107</v>
      </c>
      <c r="H1216" t="s">
        <v>64</v>
      </c>
      <c r="I1216">
        <v>2023</v>
      </c>
    </row>
    <row r="1217" spans="1:9" x14ac:dyDescent="0.3">
      <c r="A1217">
        <v>148764147</v>
      </c>
      <c r="B1217" s="1">
        <v>44966</v>
      </c>
      <c r="C1217" s="1">
        <v>45024</v>
      </c>
      <c r="D1217" t="s">
        <v>7</v>
      </c>
      <c r="E1217">
        <v>39</v>
      </c>
      <c r="F1217" t="s">
        <v>6</v>
      </c>
      <c r="G1217" s="19">
        <v>58</v>
      </c>
      <c r="H1217" t="s">
        <v>64</v>
      </c>
      <c r="I1217">
        <v>2023</v>
      </c>
    </row>
    <row r="1218" spans="1:9" x14ac:dyDescent="0.3">
      <c r="A1218">
        <v>182748610</v>
      </c>
      <c r="B1218" s="1">
        <v>44966</v>
      </c>
      <c r="C1218" s="1">
        <v>45027</v>
      </c>
      <c r="D1218" t="s">
        <v>7</v>
      </c>
      <c r="E1218">
        <v>39</v>
      </c>
      <c r="F1218" t="s">
        <v>6</v>
      </c>
      <c r="G1218" s="19">
        <v>61</v>
      </c>
      <c r="H1218" t="s">
        <v>64</v>
      </c>
      <c r="I1218">
        <v>2023</v>
      </c>
    </row>
    <row r="1219" spans="1:9" x14ac:dyDescent="0.3">
      <c r="A1219">
        <v>197883626</v>
      </c>
      <c r="B1219" s="1">
        <v>44966</v>
      </c>
      <c r="C1219" s="1">
        <v>45001</v>
      </c>
      <c r="D1219" t="s">
        <v>7</v>
      </c>
      <c r="E1219">
        <v>39</v>
      </c>
      <c r="F1219" t="s">
        <v>6</v>
      </c>
      <c r="G1219" s="19">
        <v>35</v>
      </c>
      <c r="H1219" t="s">
        <v>64</v>
      </c>
      <c r="I1219">
        <v>2023</v>
      </c>
    </row>
    <row r="1220" spans="1:9" x14ac:dyDescent="0.3">
      <c r="A1220">
        <v>195893842</v>
      </c>
      <c r="B1220" s="1">
        <v>44966</v>
      </c>
      <c r="C1220" s="1">
        <v>44985</v>
      </c>
      <c r="D1220" t="s">
        <v>7</v>
      </c>
      <c r="E1220">
        <v>39</v>
      </c>
      <c r="F1220" t="s">
        <v>6</v>
      </c>
      <c r="G1220" s="19">
        <v>19</v>
      </c>
      <c r="H1220" t="s">
        <v>64</v>
      </c>
      <c r="I1220">
        <v>2023</v>
      </c>
    </row>
    <row r="1221" spans="1:9" x14ac:dyDescent="0.3">
      <c r="A1221">
        <v>169081778</v>
      </c>
      <c r="B1221" s="1">
        <v>44966</v>
      </c>
      <c r="C1221" s="1">
        <v>45154</v>
      </c>
      <c r="D1221" t="s">
        <v>7</v>
      </c>
      <c r="E1221">
        <v>39</v>
      </c>
      <c r="F1221" t="s">
        <v>6</v>
      </c>
      <c r="G1221" s="19">
        <v>188</v>
      </c>
      <c r="H1221" t="s">
        <v>64</v>
      </c>
      <c r="I1221">
        <v>2023</v>
      </c>
    </row>
    <row r="1222" spans="1:9" x14ac:dyDescent="0.3">
      <c r="A1222">
        <v>150422738</v>
      </c>
      <c r="B1222" s="1">
        <v>44967</v>
      </c>
      <c r="C1222" s="1">
        <v>44968</v>
      </c>
      <c r="D1222" t="s">
        <v>7</v>
      </c>
      <c r="E1222">
        <v>39</v>
      </c>
      <c r="F1222" t="s">
        <v>6</v>
      </c>
      <c r="G1222" s="19">
        <v>1</v>
      </c>
      <c r="H1222" t="s">
        <v>65</v>
      </c>
      <c r="I1222">
        <v>2023</v>
      </c>
    </row>
    <row r="1223" spans="1:9" x14ac:dyDescent="0.3">
      <c r="A1223">
        <v>190839721</v>
      </c>
      <c r="B1223" s="1">
        <v>44967</v>
      </c>
      <c r="C1223" s="1">
        <v>45002</v>
      </c>
      <c r="D1223" t="s">
        <v>7</v>
      </c>
      <c r="E1223">
        <v>39</v>
      </c>
      <c r="F1223" t="s">
        <v>6</v>
      </c>
      <c r="G1223" s="19">
        <v>35</v>
      </c>
      <c r="H1223" t="s">
        <v>65</v>
      </c>
      <c r="I1223">
        <v>2023</v>
      </c>
    </row>
    <row r="1224" spans="1:9" x14ac:dyDescent="0.3">
      <c r="A1224">
        <v>152193617</v>
      </c>
      <c r="B1224" s="1">
        <v>44968</v>
      </c>
      <c r="D1224" t="s">
        <v>7</v>
      </c>
      <c r="E1224">
        <v>39</v>
      </c>
      <c r="F1224" t="s">
        <v>6</v>
      </c>
      <c r="H1224" t="s">
        <v>66</v>
      </c>
      <c r="I1224">
        <v>2023</v>
      </c>
    </row>
    <row r="1225" spans="1:9" x14ac:dyDescent="0.3">
      <c r="A1225">
        <v>133869989</v>
      </c>
      <c r="B1225" s="1">
        <v>44968</v>
      </c>
      <c r="C1225" s="1">
        <v>44969</v>
      </c>
      <c r="D1225" t="s">
        <v>7</v>
      </c>
      <c r="E1225">
        <v>39</v>
      </c>
      <c r="F1225" t="s">
        <v>6</v>
      </c>
      <c r="G1225" s="19">
        <v>1</v>
      </c>
      <c r="H1225" t="s">
        <v>66</v>
      </c>
      <c r="I1225">
        <v>2023</v>
      </c>
    </row>
    <row r="1226" spans="1:9" x14ac:dyDescent="0.3">
      <c r="A1226">
        <v>186843516</v>
      </c>
      <c r="B1226" s="1">
        <v>44968</v>
      </c>
      <c r="C1226" s="1">
        <v>45035</v>
      </c>
      <c r="D1226" t="s">
        <v>7</v>
      </c>
      <c r="E1226">
        <v>39</v>
      </c>
      <c r="F1226" t="s">
        <v>6</v>
      </c>
      <c r="G1226" s="19">
        <v>67</v>
      </c>
      <c r="H1226" t="s">
        <v>66</v>
      </c>
      <c r="I1226">
        <v>2023</v>
      </c>
    </row>
    <row r="1227" spans="1:9" x14ac:dyDescent="0.3">
      <c r="A1227">
        <v>138913080</v>
      </c>
      <c r="B1227" s="1">
        <v>44968</v>
      </c>
      <c r="C1227" s="1">
        <v>45038</v>
      </c>
      <c r="D1227" t="s">
        <v>7</v>
      </c>
      <c r="E1227">
        <v>39</v>
      </c>
      <c r="F1227" t="s">
        <v>6</v>
      </c>
      <c r="G1227" s="19">
        <v>70</v>
      </c>
      <c r="H1227" t="s">
        <v>66</v>
      </c>
      <c r="I1227">
        <v>2023</v>
      </c>
    </row>
    <row r="1228" spans="1:9" x14ac:dyDescent="0.3">
      <c r="A1228">
        <v>134879280</v>
      </c>
      <c r="B1228" s="1">
        <v>44968</v>
      </c>
      <c r="C1228" s="1">
        <v>44992</v>
      </c>
      <c r="D1228" t="s">
        <v>7</v>
      </c>
      <c r="E1228">
        <v>39</v>
      </c>
      <c r="F1228" t="s">
        <v>6</v>
      </c>
      <c r="G1228" s="19">
        <v>24</v>
      </c>
      <c r="H1228" t="s">
        <v>66</v>
      </c>
      <c r="I1228">
        <v>2023</v>
      </c>
    </row>
    <row r="1229" spans="1:9" x14ac:dyDescent="0.3">
      <c r="A1229">
        <v>160878134</v>
      </c>
      <c r="B1229" s="1">
        <v>44970</v>
      </c>
      <c r="D1229" t="s">
        <v>7</v>
      </c>
      <c r="E1229">
        <v>39</v>
      </c>
      <c r="F1229" t="s">
        <v>6</v>
      </c>
      <c r="H1229" t="s">
        <v>61</v>
      </c>
      <c r="I1229">
        <v>2023</v>
      </c>
    </row>
    <row r="1230" spans="1:9" x14ac:dyDescent="0.3">
      <c r="A1230">
        <v>144423338</v>
      </c>
      <c r="B1230" s="1">
        <v>44970</v>
      </c>
      <c r="C1230" s="1">
        <v>45159</v>
      </c>
      <c r="D1230" t="s">
        <v>7</v>
      </c>
      <c r="E1230">
        <v>39</v>
      </c>
      <c r="F1230" t="s">
        <v>6</v>
      </c>
      <c r="G1230" s="19">
        <v>189</v>
      </c>
      <c r="H1230" t="s">
        <v>61</v>
      </c>
      <c r="I1230">
        <v>2023</v>
      </c>
    </row>
    <row r="1231" spans="1:9" x14ac:dyDescent="0.3">
      <c r="A1231">
        <v>136218542</v>
      </c>
      <c r="B1231" s="1">
        <v>44970</v>
      </c>
      <c r="C1231" s="1">
        <v>45059</v>
      </c>
      <c r="D1231" t="s">
        <v>7</v>
      </c>
      <c r="E1231">
        <v>39</v>
      </c>
      <c r="F1231" t="s">
        <v>6</v>
      </c>
      <c r="G1231" s="19">
        <v>89</v>
      </c>
      <c r="H1231" t="s">
        <v>61</v>
      </c>
      <c r="I1231">
        <v>2023</v>
      </c>
    </row>
    <row r="1232" spans="1:9" x14ac:dyDescent="0.3">
      <c r="A1232">
        <v>204121686</v>
      </c>
      <c r="B1232" s="1">
        <v>44970</v>
      </c>
      <c r="C1232" s="1">
        <v>45089</v>
      </c>
      <c r="D1232" t="s">
        <v>7</v>
      </c>
      <c r="E1232">
        <v>39</v>
      </c>
      <c r="F1232" t="s">
        <v>6</v>
      </c>
      <c r="G1232" s="19">
        <v>119</v>
      </c>
      <c r="H1232" t="s">
        <v>61</v>
      </c>
      <c r="I1232">
        <v>2023</v>
      </c>
    </row>
    <row r="1233" spans="1:9" x14ac:dyDescent="0.3">
      <c r="A1233">
        <v>204114138</v>
      </c>
      <c r="B1233" s="1">
        <v>44970</v>
      </c>
      <c r="C1233" s="1">
        <v>45056</v>
      </c>
      <c r="D1233" t="s">
        <v>7</v>
      </c>
      <c r="E1233">
        <v>39</v>
      </c>
      <c r="F1233" t="s">
        <v>6</v>
      </c>
      <c r="G1233" s="19">
        <v>86</v>
      </c>
      <c r="H1233" t="s">
        <v>61</v>
      </c>
      <c r="I1233">
        <v>2023</v>
      </c>
    </row>
    <row r="1234" spans="1:9" x14ac:dyDescent="0.3">
      <c r="A1234">
        <v>152197442</v>
      </c>
      <c r="B1234" s="1">
        <v>44970</v>
      </c>
      <c r="C1234" s="1">
        <v>44998</v>
      </c>
      <c r="D1234" t="s">
        <v>7</v>
      </c>
      <c r="E1234">
        <v>39</v>
      </c>
      <c r="F1234" t="s">
        <v>6</v>
      </c>
      <c r="G1234" s="19">
        <v>28</v>
      </c>
      <c r="H1234" t="s">
        <v>61</v>
      </c>
      <c r="I1234">
        <v>2023</v>
      </c>
    </row>
    <row r="1235" spans="1:9" x14ac:dyDescent="0.3">
      <c r="A1235">
        <v>151695881</v>
      </c>
      <c r="B1235" s="1">
        <v>44970</v>
      </c>
      <c r="C1235" s="1">
        <v>45012</v>
      </c>
      <c r="D1235" t="s">
        <v>7</v>
      </c>
      <c r="E1235">
        <v>39</v>
      </c>
      <c r="F1235" t="s">
        <v>6</v>
      </c>
      <c r="G1235" s="19">
        <v>42</v>
      </c>
      <c r="H1235" t="s">
        <v>61</v>
      </c>
      <c r="I1235">
        <v>2023</v>
      </c>
    </row>
    <row r="1236" spans="1:9" x14ac:dyDescent="0.3">
      <c r="A1236">
        <v>204378294</v>
      </c>
      <c r="B1236" s="1">
        <v>44971</v>
      </c>
      <c r="D1236" t="s">
        <v>7</v>
      </c>
      <c r="E1236">
        <v>39</v>
      </c>
      <c r="F1236" t="s">
        <v>6</v>
      </c>
      <c r="H1236" t="s">
        <v>62</v>
      </c>
      <c r="I1236">
        <v>2023</v>
      </c>
    </row>
    <row r="1237" spans="1:9" x14ac:dyDescent="0.3">
      <c r="A1237">
        <v>204376665</v>
      </c>
      <c r="B1237" s="1">
        <v>44971</v>
      </c>
      <c r="D1237" t="s">
        <v>7</v>
      </c>
      <c r="E1237">
        <v>39</v>
      </c>
      <c r="F1237" t="s">
        <v>6</v>
      </c>
      <c r="H1237" t="s">
        <v>62</v>
      </c>
      <c r="I1237">
        <v>2023</v>
      </c>
    </row>
    <row r="1238" spans="1:9" x14ac:dyDescent="0.3">
      <c r="A1238">
        <v>204270637</v>
      </c>
      <c r="B1238" s="1">
        <v>44971</v>
      </c>
      <c r="D1238" t="s">
        <v>7</v>
      </c>
      <c r="E1238">
        <v>39</v>
      </c>
      <c r="F1238" t="s">
        <v>6</v>
      </c>
      <c r="H1238" t="s">
        <v>62</v>
      </c>
      <c r="I1238">
        <v>2023</v>
      </c>
    </row>
    <row r="1239" spans="1:9" x14ac:dyDescent="0.3">
      <c r="A1239">
        <v>204380751</v>
      </c>
      <c r="B1239" s="1">
        <v>44971</v>
      </c>
      <c r="C1239" s="1">
        <v>44971</v>
      </c>
      <c r="D1239" t="s">
        <v>7</v>
      </c>
      <c r="E1239">
        <v>39</v>
      </c>
      <c r="F1239" t="s">
        <v>6</v>
      </c>
      <c r="G1239" s="19">
        <v>0</v>
      </c>
      <c r="H1239" t="s">
        <v>62</v>
      </c>
      <c r="I1239">
        <v>2023</v>
      </c>
    </row>
    <row r="1240" spans="1:9" x14ac:dyDescent="0.3">
      <c r="A1240">
        <v>204402989</v>
      </c>
      <c r="B1240" s="1">
        <v>44971</v>
      </c>
      <c r="C1240" s="1">
        <v>45085</v>
      </c>
      <c r="D1240" t="s">
        <v>7</v>
      </c>
      <c r="E1240">
        <v>39</v>
      </c>
      <c r="F1240" t="s">
        <v>6</v>
      </c>
      <c r="G1240" s="19">
        <v>114</v>
      </c>
      <c r="H1240" t="s">
        <v>62</v>
      </c>
      <c r="I1240">
        <v>2023</v>
      </c>
    </row>
    <row r="1241" spans="1:9" x14ac:dyDescent="0.3">
      <c r="A1241">
        <v>203403136</v>
      </c>
      <c r="B1241" s="1">
        <v>44971</v>
      </c>
      <c r="C1241" s="1">
        <v>45089</v>
      </c>
      <c r="D1241" t="s">
        <v>7</v>
      </c>
      <c r="E1241">
        <v>39</v>
      </c>
      <c r="F1241" t="s">
        <v>6</v>
      </c>
      <c r="G1241" s="19">
        <v>118</v>
      </c>
      <c r="H1241" t="s">
        <v>62</v>
      </c>
      <c r="I1241">
        <v>2023</v>
      </c>
    </row>
    <row r="1242" spans="1:9" x14ac:dyDescent="0.3">
      <c r="A1242">
        <v>198453918</v>
      </c>
      <c r="B1242" s="1">
        <v>44971</v>
      </c>
      <c r="C1242" s="1">
        <v>45061</v>
      </c>
      <c r="D1242" t="s">
        <v>7</v>
      </c>
      <c r="E1242">
        <v>39</v>
      </c>
      <c r="F1242" t="s">
        <v>6</v>
      </c>
      <c r="G1242" s="19">
        <v>90</v>
      </c>
      <c r="H1242" t="s">
        <v>62</v>
      </c>
      <c r="I1242">
        <v>2023</v>
      </c>
    </row>
    <row r="1243" spans="1:9" x14ac:dyDescent="0.3">
      <c r="A1243">
        <v>133514912</v>
      </c>
      <c r="B1243" s="1">
        <v>44971</v>
      </c>
      <c r="C1243" s="1">
        <v>44992</v>
      </c>
      <c r="D1243" t="s">
        <v>7</v>
      </c>
      <c r="E1243">
        <v>39</v>
      </c>
      <c r="F1243" t="s">
        <v>6</v>
      </c>
      <c r="G1243" s="19">
        <v>21</v>
      </c>
      <c r="H1243" t="s">
        <v>62</v>
      </c>
      <c r="I1243">
        <v>2023</v>
      </c>
    </row>
    <row r="1244" spans="1:9" x14ac:dyDescent="0.3">
      <c r="A1244">
        <v>203414698</v>
      </c>
      <c r="B1244" s="1">
        <v>44971</v>
      </c>
      <c r="C1244" s="1">
        <v>45011</v>
      </c>
      <c r="D1244" t="s">
        <v>7</v>
      </c>
      <c r="E1244">
        <v>39</v>
      </c>
      <c r="F1244" t="s">
        <v>6</v>
      </c>
      <c r="G1244" s="19">
        <v>40</v>
      </c>
      <c r="H1244" t="s">
        <v>62</v>
      </c>
      <c r="I1244">
        <v>2023</v>
      </c>
    </row>
    <row r="1245" spans="1:9" x14ac:dyDescent="0.3">
      <c r="A1245">
        <v>190400854</v>
      </c>
      <c r="B1245" s="1">
        <v>44971</v>
      </c>
      <c r="C1245" s="1">
        <v>45127</v>
      </c>
      <c r="D1245" t="s">
        <v>7</v>
      </c>
      <c r="E1245">
        <v>39</v>
      </c>
      <c r="F1245" t="s">
        <v>6</v>
      </c>
      <c r="G1245" s="19">
        <v>156</v>
      </c>
      <c r="H1245" t="s">
        <v>62</v>
      </c>
      <c r="I1245">
        <v>2023</v>
      </c>
    </row>
    <row r="1246" spans="1:9" x14ac:dyDescent="0.3">
      <c r="A1246">
        <v>204114797</v>
      </c>
      <c r="B1246" s="1">
        <v>44971</v>
      </c>
      <c r="C1246" s="1">
        <v>45095</v>
      </c>
      <c r="D1246" t="s">
        <v>7</v>
      </c>
      <c r="E1246">
        <v>39</v>
      </c>
      <c r="F1246" t="s">
        <v>6</v>
      </c>
      <c r="G1246" s="19">
        <v>124</v>
      </c>
      <c r="H1246" t="s">
        <v>62</v>
      </c>
      <c r="I1246">
        <v>2023</v>
      </c>
    </row>
    <row r="1247" spans="1:9" x14ac:dyDescent="0.3">
      <c r="A1247">
        <v>202377942</v>
      </c>
      <c r="B1247" s="1">
        <v>44972</v>
      </c>
      <c r="D1247" t="s">
        <v>7</v>
      </c>
      <c r="E1247">
        <v>39</v>
      </c>
      <c r="F1247" t="s">
        <v>6</v>
      </c>
      <c r="H1247" t="s">
        <v>63</v>
      </c>
      <c r="I1247">
        <v>2023</v>
      </c>
    </row>
    <row r="1248" spans="1:9" x14ac:dyDescent="0.3">
      <c r="A1248">
        <v>204555612</v>
      </c>
      <c r="B1248" s="1">
        <v>44972</v>
      </c>
      <c r="C1248" s="1">
        <v>44972</v>
      </c>
      <c r="D1248" t="s">
        <v>8</v>
      </c>
      <c r="E1248">
        <v>39</v>
      </c>
      <c r="F1248" t="s">
        <v>6</v>
      </c>
      <c r="G1248" s="19">
        <v>0</v>
      </c>
      <c r="H1248" t="s">
        <v>63</v>
      </c>
      <c r="I1248">
        <v>2023</v>
      </c>
    </row>
    <row r="1249" spans="1:9" x14ac:dyDescent="0.3">
      <c r="A1249">
        <v>204556376</v>
      </c>
      <c r="B1249" s="1">
        <v>44972</v>
      </c>
      <c r="C1249" s="1">
        <v>44972</v>
      </c>
      <c r="D1249" t="s">
        <v>8</v>
      </c>
      <c r="E1249">
        <v>39</v>
      </c>
      <c r="F1249" t="s">
        <v>6</v>
      </c>
      <c r="G1249" s="19">
        <v>0</v>
      </c>
      <c r="H1249" t="s">
        <v>63</v>
      </c>
      <c r="I1249">
        <v>2023</v>
      </c>
    </row>
    <row r="1250" spans="1:9" x14ac:dyDescent="0.3">
      <c r="A1250">
        <v>204515997</v>
      </c>
      <c r="B1250" s="1">
        <v>44972</v>
      </c>
      <c r="C1250" s="1">
        <v>45091</v>
      </c>
      <c r="D1250" t="s">
        <v>7</v>
      </c>
      <c r="E1250">
        <v>39</v>
      </c>
      <c r="F1250" t="s">
        <v>6</v>
      </c>
      <c r="G1250" s="19">
        <v>119</v>
      </c>
      <c r="H1250" t="s">
        <v>63</v>
      </c>
      <c r="I1250">
        <v>2023</v>
      </c>
    </row>
    <row r="1251" spans="1:9" x14ac:dyDescent="0.3">
      <c r="A1251">
        <v>153342734</v>
      </c>
      <c r="B1251" s="1">
        <v>44972</v>
      </c>
      <c r="C1251" s="1">
        <v>45007</v>
      </c>
      <c r="D1251" t="s">
        <v>7</v>
      </c>
      <c r="E1251">
        <v>39</v>
      </c>
      <c r="F1251" t="s">
        <v>6</v>
      </c>
      <c r="G1251" s="19">
        <v>35</v>
      </c>
      <c r="H1251" t="s">
        <v>63</v>
      </c>
      <c r="I1251">
        <v>2023</v>
      </c>
    </row>
    <row r="1252" spans="1:9" x14ac:dyDescent="0.3">
      <c r="A1252">
        <v>204650391</v>
      </c>
      <c r="B1252" s="1">
        <v>44973</v>
      </c>
      <c r="D1252" t="s">
        <v>7</v>
      </c>
      <c r="E1252">
        <v>39</v>
      </c>
      <c r="F1252" t="s">
        <v>6</v>
      </c>
      <c r="H1252" t="s">
        <v>64</v>
      </c>
      <c r="I1252">
        <v>2023</v>
      </c>
    </row>
    <row r="1253" spans="1:9" x14ac:dyDescent="0.3">
      <c r="A1253">
        <v>150906486</v>
      </c>
      <c r="B1253" s="1">
        <v>44973</v>
      </c>
      <c r="C1253" s="1">
        <v>45002</v>
      </c>
      <c r="D1253" t="s">
        <v>7</v>
      </c>
      <c r="E1253">
        <v>39</v>
      </c>
      <c r="F1253" t="s">
        <v>6</v>
      </c>
      <c r="G1253" s="19">
        <v>29</v>
      </c>
      <c r="H1253" t="s">
        <v>64</v>
      </c>
      <c r="I1253">
        <v>2023</v>
      </c>
    </row>
    <row r="1254" spans="1:9" x14ac:dyDescent="0.3">
      <c r="A1254">
        <v>153961940</v>
      </c>
      <c r="B1254" s="1">
        <v>44973</v>
      </c>
      <c r="C1254" s="1">
        <v>44973</v>
      </c>
      <c r="D1254" t="s">
        <v>7</v>
      </c>
      <c r="E1254">
        <v>39</v>
      </c>
      <c r="F1254" t="s">
        <v>6</v>
      </c>
      <c r="G1254" s="19">
        <v>0</v>
      </c>
      <c r="H1254" t="s">
        <v>64</v>
      </c>
      <c r="I1254">
        <v>2023</v>
      </c>
    </row>
    <row r="1255" spans="1:9" x14ac:dyDescent="0.3">
      <c r="A1255">
        <v>154175766</v>
      </c>
      <c r="B1255" s="1">
        <v>44973</v>
      </c>
      <c r="C1255" s="1">
        <v>45000</v>
      </c>
      <c r="D1255" t="s">
        <v>7</v>
      </c>
      <c r="E1255">
        <v>39</v>
      </c>
      <c r="F1255" t="s">
        <v>6</v>
      </c>
      <c r="G1255" s="19">
        <v>27</v>
      </c>
      <c r="H1255" t="s">
        <v>64</v>
      </c>
      <c r="I1255">
        <v>2023</v>
      </c>
    </row>
    <row r="1256" spans="1:9" x14ac:dyDescent="0.3">
      <c r="A1256">
        <v>204631298</v>
      </c>
      <c r="B1256" s="1">
        <v>44973</v>
      </c>
      <c r="C1256" s="1">
        <v>45033</v>
      </c>
      <c r="D1256" t="s">
        <v>7</v>
      </c>
      <c r="E1256">
        <v>39</v>
      </c>
      <c r="F1256" t="s">
        <v>6</v>
      </c>
      <c r="G1256" s="19">
        <v>60</v>
      </c>
      <c r="H1256" t="s">
        <v>64</v>
      </c>
      <c r="I1256">
        <v>2023</v>
      </c>
    </row>
    <row r="1257" spans="1:9" x14ac:dyDescent="0.3">
      <c r="A1257">
        <v>195534585</v>
      </c>
      <c r="B1257" s="1">
        <v>44973</v>
      </c>
      <c r="C1257" s="1">
        <v>45030</v>
      </c>
      <c r="D1257" t="s">
        <v>7</v>
      </c>
      <c r="E1257">
        <v>39</v>
      </c>
      <c r="F1257" t="s">
        <v>6</v>
      </c>
      <c r="G1257" s="19">
        <v>57</v>
      </c>
      <c r="H1257" t="s">
        <v>64</v>
      </c>
      <c r="I1257">
        <v>2023</v>
      </c>
    </row>
    <row r="1258" spans="1:9" x14ac:dyDescent="0.3">
      <c r="A1258">
        <v>176421166</v>
      </c>
      <c r="B1258" s="1">
        <v>44973</v>
      </c>
      <c r="C1258" s="1">
        <v>45030</v>
      </c>
      <c r="D1258" t="s">
        <v>7</v>
      </c>
      <c r="E1258">
        <v>39</v>
      </c>
      <c r="F1258" t="s">
        <v>6</v>
      </c>
      <c r="G1258" s="19">
        <v>57</v>
      </c>
      <c r="H1258" t="s">
        <v>64</v>
      </c>
      <c r="I1258">
        <v>2023</v>
      </c>
    </row>
    <row r="1259" spans="1:9" x14ac:dyDescent="0.3">
      <c r="A1259">
        <v>204679416</v>
      </c>
      <c r="B1259" s="1">
        <v>44973</v>
      </c>
      <c r="C1259" s="1">
        <v>45002</v>
      </c>
      <c r="D1259" t="s">
        <v>7</v>
      </c>
      <c r="E1259">
        <v>39</v>
      </c>
      <c r="F1259" t="s">
        <v>6</v>
      </c>
      <c r="G1259" s="19">
        <v>29</v>
      </c>
      <c r="H1259" t="s">
        <v>64</v>
      </c>
      <c r="I1259">
        <v>2023</v>
      </c>
    </row>
    <row r="1260" spans="1:9" x14ac:dyDescent="0.3">
      <c r="A1260">
        <v>204448721</v>
      </c>
      <c r="B1260" s="1">
        <v>44973</v>
      </c>
      <c r="C1260" s="1">
        <v>44975</v>
      </c>
      <c r="D1260" t="s">
        <v>7</v>
      </c>
      <c r="E1260">
        <v>39</v>
      </c>
      <c r="F1260" t="s">
        <v>6</v>
      </c>
      <c r="G1260" s="19">
        <v>2</v>
      </c>
      <c r="H1260" t="s">
        <v>64</v>
      </c>
      <c r="I1260">
        <v>2023</v>
      </c>
    </row>
    <row r="1261" spans="1:9" x14ac:dyDescent="0.3">
      <c r="A1261">
        <v>151908347</v>
      </c>
      <c r="B1261" s="1">
        <v>44973</v>
      </c>
      <c r="C1261" s="1">
        <v>45095</v>
      </c>
      <c r="D1261" t="s">
        <v>7</v>
      </c>
      <c r="E1261">
        <v>39</v>
      </c>
      <c r="F1261" t="s">
        <v>6</v>
      </c>
      <c r="G1261" s="19">
        <v>122</v>
      </c>
      <c r="H1261" t="s">
        <v>64</v>
      </c>
      <c r="I1261">
        <v>2023</v>
      </c>
    </row>
    <row r="1262" spans="1:9" x14ac:dyDescent="0.3">
      <c r="A1262">
        <v>150652956</v>
      </c>
      <c r="B1262" s="1">
        <v>44974</v>
      </c>
      <c r="C1262" s="1">
        <v>44975</v>
      </c>
      <c r="D1262" t="s">
        <v>7</v>
      </c>
      <c r="E1262">
        <v>39</v>
      </c>
      <c r="F1262" t="s">
        <v>6</v>
      </c>
      <c r="G1262" s="19">
        <v>1</v>
      </c>
      <c r="H1262" t="s">
        <v>65</v>
      </c>
      <c r="I1262">
        <v>2023</v>
      </c>
    </row>
    <row r="1263" spans="1:9" x14ac:dyDescent="0.3">
      <c r="A1263">
        <v>183321644</v>
      </c>
      <c r="B1263" s="1">
        <v>44974</v>
      </c>
      <c r="C1263" s="1">
        <v>44974</v>
      </c>
      <c r="D1263" t="s">
        <v>8</v>
      </c>
      <c r="E1263">
        <v>39</v>
      </c>
      <c r="F1263" t="s">
        <v>6</v>
      </c>
      <c r="G1263" s="19">
        <v>0</v>
      </c>
      <c r="H1263" t="s">
        <v>65</v>
      </c>
      <c r="I1263">
        <v>2023</v>
      </c>
    </row>
    <row r="1264" spans="1:9" x14ac:dyDescent="0.3">
      <c r="A1264">
        <v>204740476</v>
      </c>
      <c r="B1264" s="1">
        <v>44974</v>
      </c>
      <c r="C1264" s="1">
        <v>44999</v>
      </c>
      <c r="D1264" t="s">
        <v>8</v>
      </c>
      <c r="E1264">
        <v>39</v>
      </c>
      <c r="F1264" t="s">
        <v>6</v>
      </c>
      <c r="G1264" s="19">
        <v>25</v>
      </c>
      <c r="H1264" t="s">
        <v>65</v>
      </c>
      <c r="I1264">
        <v>2023</v>
      </c>
    </row>
    <row r="1265" spans="1:9" x14ac:dyDescent="0.3">
      <c r="A1265">
        <v>204439086</v>
      </c>
      <c r="B1265" s="1">
        <v>44974</v>
      </c>
      <c r="C1265" s="1">
        <v>45093</v>
      </c>
      <c r="D1265" t="s">
        <v>7</v>
      </c>
      <c r="E1265">
        <v>39</v>
      </c>
      <c r="F1265" t="s">
        <v>6</v>
      </c>
      <c r="G1265" s="19">
        <v>119</v>
      </c>
      <c r="H1265" t="s">
        <v>65</v>
      </c>
      <c r="I1265">
        <v>2023</v>
      </c>
    </row>
    <row r="1266" spans="1:9" x14ac:dyDescent="0.3">
      <c r="A1266">
        <v>204685109</v>
      </c>
      <c r="B1266" s="1">
        <v>44974</v>
      </c>
      <c r="C1266" s="1">
        <v>45069</v>
      </c>
      <c r="D1266" t="s">
        <v>7</v>
      </c>
      <c r="E1266">
        <v>39</v>
      </c>
      <c r="F1266" t="s">
        <v>6</v>
      </c>
      <c r="G1266" s="19">
        <v>95</v>
      </c>
      <c r="H1266" t="s">
        <v>65</v>
      </c>
      <c r="I1266">
        <v>2023</v>
      </c>
    </row>
    <row r="1267" spans="1:9" x14ac:dyDescent="0.3">
      <c r="A1267">
        <v>175211528</v>
      </c>
      <c r="B1267" s="1">
        <v>44974</v>
      </c>
      <c r="C1267" s="1">
        <v>44980</v>
      </c>
      <c r="D1267" t="s">
        <v>7</v>
      </c>
      <c r="E1267">
        <v>39</v>
      </c>
      <c r="F1267" t="s">
        <v>6</v>
      </c>
      <c r="G1267" s="19">
        <v>6</v>
      </c>
      <c r="H1267" t="s">
        <v>65</v>
      </c>
      <c r="I1267">
        <v>2023</v>
      </c>
    </row>
    <row r="1268" spans="1:9" x14ac:dyDescent="0.3">
      <c r="A1268">
        <v>204646698</v>
      </c>
      <c r="B1268" s="1">
        <v>44974</v>
      </c>
      <c r="C1268" s="1">
        <v>44974</v>
      </c>
      <c r="D1268" t="s">
        <v>7</v>
      </c>
      <c r="E1268">
        <v>39</v>
      </c>
      <c r="F1268" t="s">
        <v>6</v>
      </c>
      <c r="G1268" s="19">
        <v>0</v>
      </c>
      <c r="H1268" t="s">
        <v>65</v>
      </c>
      <c r="I1268">
        <v>2023</v>
      </c>
    </row>
    <row r="1269" spans="1:9" x14ac:dyDescent="0.3">
      <c r="A1269">
        <v>204728203</v>
      </c>
      <c r="B1269" s="1">
        <v>44974</v>
      </c>
      <c r="C1269" s="1">
        <v>45144</v>
      </c>
      <c r="D1269" t="s">
        <v>7</v>
      </c>
      <c r="E1269">
        <v>39</v>
      </c>
      <c r="F1269" t="s">
        <v>6</v>
      </c>
      <c r="G1269" s="19">
        <v>170</v>
      </c>
      <c r="H1269" t="s">
        <v>65</v>
      </c>
      <c r="I1269">
        <v>2023</v>
      </c>
    </row>
    <row r="1270" spans="1:9" x14ac:dyDescent="0.3">
      <c r="A1270">
        <v>166674547</v>
      </c>
      <c r="B1270" s="1">
        <v>44974</v>
      </c>
      <c r="C1270" s="1">
        <v>45099</v>
      </c>
      <c r="D1270" t="s">
        <v>7</v>
      </c>
      <c r="E1270">
        <v>39</v>
      </c>
      <c r="F1270" t="s">
        <v>6</v>
      </c>
      <c r="G1270" s="19">
        <v>125</v>
      </c>
      <c r="H1270" t="s">
        <v>65</v>
      </c>
      <c r="I1270">
        <v>2023</v>
      </c>
    </row>
    <row r="1271" spans="1:9" x14ac:dyDescent="0.3">
      <c r="A1271">
        <v>202459470</v>
      </c>
      <c r="B1271" s="1">
        <v>44975</v>
      </c>
      <c r="D1271" t="s">
        <v>7</v>
      </c>
      <c r="E1271">
        <v>39</v>
      </c>
      <c r="F1271" t="s">
        <v>6</v>
      </c>
      <c r="H1271" t="s">
        <v>66</v>
      </c>
      <c r="I1271">
        <v>2023</v>
      </c>
    </row>
    <row r="1272" spans="1:9" x14ac:dyDescent="0.3">
      <c r="A1272">
        <v>155508761</v>
      </c>
      <c r="B1272" s="1">
        <v>44975</v>
      </c>
      <c r="D1272" t="s">
        <v>7</v>
      </c>
      <c r="E1272">
        <v>39</v>
      </c>
      <c r="F1272" t="s">
        <v>6</v>
      </c>
      <c r="H1272" t="s">
        <v>66</v>
      </c>
      <c r="I1272">
        <v>2023</v>
      </c>
    </row>
    <row r="1273" spans="1:9" x14ac:dyDescent="0.3">
      <c r="A1273">
        <v>168484421</v>
      </c>
      <c r="B1273" s="1">
        <v>44975</v>
      </c>
      <c r="C1273" s="1">
        <v>44975</v>
      </c>
      <c r="D1273" t="s">
        <v>8</v>
      </c>
      <c r="E1273">
        <v>39</v>
      </c>
      <c r="F1273" t="s">
        <v>6</v>
      </c>
      <c r="G1273" s="19">
        <v>0</v>
      </c>
      <c r="H1273" t="s">
        <v>66</v>
      </c>
      <c r="I1273">
        <v>2023</v>
      </c>
    </row>
    <row r="1274" spans="1:9" x14ac:dyDescent="0.3">
      <c r="A1274">
        <v>130864124</v>
      </c>
      <c r="B1274" s="1">
        <v>44975</v>
      </c>
      <c r="C1274" s="1">
        <v>44976</v>
      </c>
      <c r="D1274" t="s">
        <v>7</v>
      </c>
      <c r="E1274">
        <v>39</v>
      </c>
      <c r="F1274" t="s">
        <v>6</v>
      </c>
      <c r="G1274" s="19">
        <v>1</v>
      </c>
      <c r="H1274" t="s">
        <v>66</v>
      </c>
      <c r="I1274">
        <v>2023</v>
      </c>
    </row>
    <row r="1275" spans="1:9" x14ac:dyDescent="0.3">
      <c r="A1275">
        <v>204752959</v>
      </c>
      <c r="B1275" s="1">
        <v>44975</v>
      </c>
      <c r="C1275" s="1">
        <v>45102</v>
      </c>
      <c r="D1275" t="s">
        <v>7</v>
      </c>
      <c r="E1275">
        <v>39</v>
      </c>
      <c r="F1275" t="s">
        <v>6</v>
      </c>
      <c r="G1275" s="19">
        <v>127</v>
      </c>
      <c r="H1275" t="s">
        <v>66</v>
      </c>
      <c r="I1275">
        <v>2023</v>
      </c>
    </row>
    <row r="1276" spans="1:9" x14ac:dyDescent="0.3">
      <c r="A1276">
        <v>204761235</v>
      </c>
      <c r="B1276" s="1">
        <v>44975</v>
      </c>
      <c r="C1276" s="1">
        <v>45063</v>
      </c>
      <c r="D1276" t="s">
        <v>7</v>
      </c>
      <c r="E1276">
        <v>39</v>
      </c>
      <c r="F1276" t="s">
        <v>6</v>
      </c>
      <c r="G1276" s="19">
        <v>88</v>
      </c>
      <c r="H1276" t="s">
        <v>66</v>
      </c>
      <c r="I1276">
        <v>2023</v>
      </c>
    </row>
    <row r="1277" spans="1:9" x14ac:dyDescent="0.3">
      <c r="A1277">
        <v>159142615</v>
      </c>
      <c r="B1277" s="1">
        <v>44975</v>
      </c>
      <c r="C1277" s="1">
        <v>45074</v>
      </c>
      <c r="D1277" t="s">
        <v>7</v>
      </c>
      <c r="E1277">
        <v>39</v>
      </c>
      <c r="F1277" t="s">
        <v>6</v>
      </c>
      <c r="G1277" s="19">
        <v>99</v>
      </c>
      <c r="H1277" t="s">
        <v>66</v>
      </c>
      <c r="I1277">
        <v>2023</v>
      </c>
    </row>
    <row r="1278" spans="1:9" x14ac:dyDescent="0.3">
      <c r="A1278">
        <v>204753316</v>
      </c>
      <c r="B1278" s="1">
        <v>44975</v>
      </c>
      <c r="C1278" s="1">
        <v>45010</v>
      </c>
      <c r="D1278" t="s">
        <v>7</v>
      </c>
      <c r="E1278">
        <v>39</v>
      </c>
      <c r="F1278" t="s">
        <v>6</v>
      </c>
      <c r="G1278" s="19">
        <v>35</v>
      </c>
      <c r="H1278" t="s">
        <v>66</v>
      </c>
      <c r="I1278">
        <v>2023</v>
      </c>
    </row>
    <row r="1279" spans="1:9" x14ac:dyDescent="0.3">
      <c r="A1279">
        <v>195188483</v>
      </c>
      <c r="B1279" s="1">
        <v>44976</v>
      </c>
      <c r="D1279" t="s">
        <v>7</v>
      </c>
      <c r="E1279">
        <v>39</v>
      </c>
      <c r="F1279" t="s">
        <v>6</v>
      </c>
      <c r="H1279" t="s">
        <v>60</v>
      </c>
      <c r="I1279">
        <v>2023</v>
      </c>
    </row>
    <row r="1280" spans="1:9" x14ac:dyDescent="0.3">
      <c r="A1280">
        <v>204773056</v>
      </c>
      <c r="B1280" s="1">
        <v>44976</v>
      </c>
      <c r="D1280" t="s">
        <v>7</v>
      </c>
      <c r="E1280">
        <v>39</v>
      </c>
      <c r="F1280" t="s">
        <v>6</v>
      </c>
      <c r="H1280" t="s">
        <v>60</v>
      </c>
      <c r="I1280">
        <v>2023</v>
      </c>
    </row>
    <row r="1281" spans="1:9" x14ac:dyDescent="0.3">
      <c r="A1281">
        <v>204814698</v>
      </c>
      <c r="B1281" s="1">
        <v>44976</v>
      </c>
      <c r="C1281" s="1">
        <v>45160</v>
      </c>
      <c r="D1281" t="s">
        <v>7</v>
      </c>
      <c r="E1281">
        <v>39</v>
      </c>
      <c r="F1281" t="s">
        <v>6</v>
      </c>
      <c r="G1281" s="19">
        <v>184</v>
      </c>
      <c r="H1281" t="s">
        <v>60</v>
      </c>
      <c r="I1281">
        <v>2023</v>
      </c>
    </row>
    <row r="1282" spans="1:9" x14ac:dyDescent="0.3">
      <c r="A1282">
        <v>204732463</v>
      </c>
      <c r="B1282" s="1">
        <v>44976</v>
      </c>
      <c r="C1282" s="1">
        <v>45089</v>
      </c>
      <c r="D1282" t="s">
        <v>7</v>
      </c>
      <c r="E1282">
        <v>39</v>
      </c>
      <c r="F1282" t="s">
        <v>6</v>
      </c>
      <c r="G1282" s="19">
        <v>113</v>
      </c>
      <c r="H1282" t="s">
        <v>60</v>
      </c>
      <c r="I1282">
        <v>2023</v>
      </c>
    </row>
    <row r="1283" spans="1:9" x14ac:dyDescent="0.3">
      <c r="A1283">
        <v>204772360</v>
      </c>
      <c r="B1283" s="1">
        <v>44976</v>
      </c>
      <c r="C1283" s="1">
        <v>45034</v>
      </c>
      <c r="D1283" t="s">
        <v>7</v>
      </c>
      <c r="E1283">
        <v>39</v>
      </c>
      <c r="F1283" t="s">
        <v>6</v>
      </c>
      <c r="G1283" s="19">
        <v>58</v>
      </c>
      <c r="H1283" t="s">
        <v>60</v>
      </c>
      <c r="I1283">
        <v>2023</v>
      </c>
    </row>
    <row r="1284" spans="1:9" x14ac:dyDescent="0.3">
      <c r="A1284">
        <v>204812582</v>
      </c>
      <c r="B1284" s="1">
        <v>44976</v>
      </c>
      <c r="C1284" s="1">
        <v>45023</v>
      </c>
      <c r="D1284" t="s">
        <v>7</v>
      </c>
      <c r="E1284">
        <v>39</v>
      </c>
      <c r="F1284" t="s">
        <v>6</v>
      </c>
      <c r="G1284" s="19">
        <v>47</v>
      </c>
      <c r="H1284" t="s">
        <v>60</v>
      </c>
      <c r="I1284">
        <v>2023</v>
      </c>
    </row>
    <row r="1285" spans="1:9" x14ac:dyDescent="0.3">
      <c r="A1285">
        <v>204662556</v>
      </c>
      <c r="B1285" s="1">
        <v>44976</v>
      </c>
      <c r="C1285" s="1">
        <v>45018</v>
      </c>
      <c r="D1285" t="s">
        <v>7</v>
      </c>
      <c r="E1285">
        <v>39</v>
      </c>
      <c r="F1285" t="s">
        <v>6</v>
      </c>
      <c r="G1285" s="19">
        <v>42</v>
      </c>
      <c r="H1285" t="s">
        <v>60</v>
      </c>
      <c r="I1285">
        <v>2023</v>
      </c>
    </row>
    <row r="1286" spans="1:9" x14ac:dyDescent="0.3">
      <c r="A1286">
        <v>163781430</v>
      </c>
      <c r="B1286" s="1">
        <v>44976</v>
      </c>
      <c r="C1286" s="1">
        <v>45042</v>
      </c>
      <c r="D1286" t="s">
        <v>7</v>
      </c>
      <c r="E1286">
        <v>39</v>
      </c>
      <c r="F1286" t="s">
        <v>6</v>
      </c>
      <c r="G1286" s="19">
        <v>66</v>
      </c>
      <c r="H1286" t="s">
        <v>60</v>
      </c>
      <c r="I1286">
        <v>2023</v>
      </c>
    </row>
    <row r="1287" spans="1:9" x14ac:dyDescent="0.3">
      <c r="A1287">
        <v>143963064</v>
      </c>
      <c r="B1287" s="1">
        <v>44976</v>
      </c>
      <c r="C1287" s="1">
        <v>45125</v>
      </c>
      <c r="D1287" t="s">
        <v>7</v>
      </c>
      <c r="E1287">
        <v>39</v>
      </c>
      <c r="F1287" t="s">
        <v>6</v>
      </c>
      <c r="G1287" s="19">
        <v>149</v>
      </c>
      <c r="H1287" t="s">
        <v>60</v>
      </c>
      <c r="I1287">
        <v>2023</v>
      </c>
    </row>
    <row r="1288" spans="1:9" x14ac:dyDescent="0.3">
      <c r="A1288">
        <v>204797166</v>
      </c>
      <c r="B1288" s="1">
        <v>44976</v>
      </c>
      <c r="C1288" s="1">
        <v>44991</v>
      </c>
      <c r="D1288" t="s">
        <v>7</v>
      </c>
      <c r="E1288">
        <v>39</v>
      </c>
      <c r="F1288" t="s">
        <v>6</v>
      </c>
      <c r="G1288" s="19">
        <v>15</v>
      </c>
      <c r="H1288" t="s">
        <v>60</v>
      </c>
      <c r="I1288">
        <v>2023</v>
      </c>
    </row>
    <row r="1289" spans="1:9" x14ac:dyDescent="0.3">
      <c r="A1289">
        <v>204774421</v>
      </c>
      <c r="B1289" s="1">
        <v>44976</v>
      </c>
      <c r="C1289" s="1">
        <v>44999</v>
      </c>
      <c r="D1289" t="s">
        <v>7</v>
      </c>
      <c r="E1289">
        <v>39</v>
      </c>
      <c r="F1289" t="s">
        <v>6</v>
      </c>
      <c r="G1289" s="19">
        <v>23</v>
      </c>
      <c r="H1289" t="s">
        <v>60</v>
      </c>
      <c r="I1289">
        <v>2023</v>
      </c>
    </row>
    <row r="1290" spans="1:9" x14ac:dyDescent="0.3">
      <c r="A1290">
        <v>204801675</v>
      </c>
      <c r="B1290" s="1">
        <v>44976</v>
      </c>
      <c r="C1290" s="1">
        <v>45007</v>
      </c>
      <c r="D1290" t="s">
        <v>7</v>
      </c>
      <c r="E1290">
        <v>39</v>
      </c>
      <c r="F1290" t="s">
        <v>6</v>
      </c>
      <c r="G1290" s="19">
        <v>31</v>
      </c>
      <c r="H1290" t="s">
        <v>60</v>
      </c>
      <c r="I1290">
        <v>2023</v>
      </c>
    </row>
    <row r="1291" spans="1:9" x14ac:dyDescent="0.3">
      <c r="A1291">
        <v>204518099</v>
      </c>
      <c r="B1291" s="1">
        <v>44976</v>
      </c>
      <c r="C1291" s="1">
        <v>44981</v>
      </c>
      <c r="D1291" t="s">
        <v>7</v>
      </c>
      <c r="E1291">
        <v>39</v>
      </c>
      <c r="F1291" t="s">
        <v>6</v>
      </c>
      <c r="G1291" s="19">
        <v>5</v>
      </c>
      <c r="H1291" t="s">
        <v>60</v>
      </c>
      <c r="I1291">
        <v>2023</v>
      </c>
    </row>
    <row r="1292" spans="1:9" x14ac:dyDescent="0.3">
      <c r="A1292">
        <v>204814320</v>
      </c>
      <c r="B1292" s="1">
        <v>44977</v>
      </c>
      <c r="D1292" t="s">
        <v>7</v>
      </c>
      <c r="E1292">
        <v>39</v>
      </c>
      <c r="F1292" t="s">
        <v>6</v>
      </c>
      <c r="H1292" t="s">
        <v>61</v>
      </c>
      <c r="I1292">
        <v>2023</v>
      </c>
    </row>
    <row r="1293" spans="1:9" x14ac:dyDescent="0.3">
      <c r="A1293">
        <v>126851221</v>
      </c>
      <c r="B1293" s="1">
        <v>44977</v>
      </c>
      <c r="D1293" t="s">
        <v>7</v>
      </c>
      <c r="E1293">
        <v>39</v>
      </c>
      <c r="F1293" t="s">
        <v>6</v>
      </c>
      <c r="H1293" t="s">
        <v>61</v>
      </c>
      <c r="I1293">
        <v>2023</v>
      </c>
    </row>
    <row r="1294" spans="1:9" x14ac:dyDescent="0.3">
      <c r="A1294">
        <v>204845935</v>
      </c>
      <c r="B1294" s="1">
        <v>44977</v>
      </c>
      <c r="D1294" t="s">
        <v>7</v>
      </c>
      <c r="E1294">
        <v>39</v>
      </c>
      <c r="F1294" t="s">
        <v>6</v>
      </c>
      <c r="H1294" t="s">
        <v>61</v>
      </c>
      <c r="I1294">
        <v>2023</v>
      </c>
    </row>
    <row r="1295" spans="1:9" x14ac:dyDescent="0.3">
      <c r="A1295">
        <v>122215146</v>
      </c>
      <c r="B1295" s="1">
        <v>44977</v>
      </c>
      <c r="C1295" s="1">
        <v>44978</v>
      </c>
      <c r="D1295" t="s">
        <v>7</v>
      </c>
      <c r="E1295">
        <v>39</v>
      </c>
      <c r="F1295" t="s">
        <v>6</v>
      </c>
      <c r="G1295" s="19">
        <v>1</v>
      </c>
      <c r="H1295" t="s">
        <v>61</v>
      </c>
      <c r="I1295">
        <v>2023</v>
      </c>
    </row>
    <row r="1296" spans="1:9" x14ac:dyDescent="0.3">
      <c r="A1296">
        <v>147300748</v>
      </c>
      <c r="B1296" s="1">
        <v>44977</v>
      </c>
      <c r="C1296" s="1">
        <v>45119</v>
      </c>
      <c r="D1296" t="s">
        <v>7</v>
      </c>
      <c r="E1296">
        <v>39</v>
      </c>
      <c r="F1296" t="s">
        <v>6</v>
      </c>
      <c r="G1296" s="19">
        <v>142</v>
      </c>
      <c r="H1296" t="s">
        <v>61</v>
      </c>
      <c r="I1296">
        <v>2023</v>
      </c>
    </row>
    <row r="1297" spans="1:9" x14ac:dyDescent="0.3">
      <c r="A1297">
        <v>162596645</v>
      </c>
      <c r="B1297" s="1">
        <v>44977</v>
      </c>
      <c r="C1297" s="1">
        <v>45105</v>
      </c>
      <c r="D1297" t="s">
        <v>7</v>
      </c>
      <c r="E1297">
        <v>39</v>
      </c>
      <c r="F1297" t="s">
        <v>6</v>
      </c>
      <c r="G1297" s="19">
        <v>128</v>
      </c>
      <c r="H1297" t="s">
        <v>61</v>
      </c>
      <c r="I1297">
        <v>2023</v>
      </c>
    </row>
    <row r="1298" spans="1:9" x14ac:dyDescent="0.3">
      <c r="A1298">
        <v>177666771</v>
      </c>
      <c r="B1298" s="1">
        <v>44977</v>
      </c>
      <c r="C1298" s="1">
        <v>45089</v>
      </c>
      <c r="D1298" t="s">
        <v>7</v>
      </c>
      <c r="E1298">
        <v>39</v>
      </c>
      <c r="F1298" t="s">
        <v>6</v>
      </c>
      <c r="G1298" s="19">
        <v>112</v>
      </c>
      <c r="H1298" t="s">
        <v>61</v>
      </c>
      <c r="I1298">
        <v>2023</v>
      </c>
    </row>
    <row r="1299" spans="1:9" x14ac:dyDescent="0.3">
      <c r="A1299">
        <v>204884248</v>
      </c>
      <c r="B1299" s="1">
        <v>44977</v>
      </c>
      <c r="C1299" s="1">
        <v>45048</v>
      </c>
      <c r="D1299" t="s">
        <v>7</v>
      </c>
      <c r="E1299">
        <v>39</v>
      </c>
      <c r="F1299" t="s">
        <v>6</v>
      </c>
      <c r="G1299" s="19">
        <v>71</v>
      </c>
      <c r="H1299" t="s">
        <v>61</v>
      </c>
      <c r="I1299">
        <v>2023</v>
      </c>
    </row>
    <row r="1300" spans="1:9" x14ac:dyDescent="0.3">
      <c r="A1300">
        <v>204826054</v>
      </c>
      <c r="B1300" s="1">
        <v>44977</v>
      </c>
      <c r="C1300" s="1">
        <v>45077</v>
      </c>
      <c r="D1300" t="s">
        <v>7</v>
      </c>
      <c r="E1300">
        <v>39</v>
      </c>
      <c r="F1300" t="s">
        <v>6</v>
      </c>
      <c r="G1300" s="19">
        <v>100</v>
      </c>
      <c r="H1300" t="s">
        <v>61</v>
      </c>
      <c r="I1300">
        <v>2023</v>
      </c>
    </row>
    <row r="1301" spans="1:9" x14ac:dyDescent="0.3">
      <c r="A1301">
        <v>145096572</v>
      </c>
      <c r="B1301" s="1">
        <v>44977</v>
      </c>
      <c r="C1301" s="1">
        <v>44999</v>
      </c>
      <c r="D1301" t="s">
        <v>7</v>
      </c>
      <c r="E1301">
        <v>39</v>
      </c>
      <c r="F1301" t="s">
        <v>6</v>
      </c>
      <c r="G1301" s="19">
        <v>22</v>
      </c>
      <c r="H1301" t="s">
        <v>61</v>
      </c>
      <c r="I1301">
        <v>2023</v>
      </c>
    </row>
    <row r="1302" spans="1:9" x14ac:dyDescent="0.3">
      <c r="A1302">
        <v>158472404</v>
      </c>
      <c r="B1302" s="1">
        <v>44977</v>
      </c>
      <c r="C1302" s="1">
        <v>44995</v>
      </c>
      <c r="D1302" t="s">
        <v>7</v>
      </c>
      <c r="E1302">
        <v>39</v>
      </c>
      <c r="F1302" t="s">
        <v>6</v>
      </c>
      <c r="G1302" s="19">
        <v>18</v>
      </c>
      <c r="H1302" t="s">
        <v>61</v>
      </c>
      <c r="I1302">
        <v>2023</v>
      </c>
    </row>
    <row r="1303" spans="1:9" x14ac:dyDescent="0.3">
      <c r="A1303">
        <v>204907118</v>
      </c>
      <c r="B1303" s="1">
        <v>44977</v>
      </c>
      <c r="C1303" s="1">
        <v>45026</v>
      </c>
      <c r="D1303" t="s">
        <v>7</v>
      </c>
      <c r="E1303">
        <v>39</v>
      </c>
      <c r="F1303" t="s">
        <v>6</v>
      </c>
      <c r="G1303" s="19">
        <v>49</v>
      </c>
      <c r="H1303" t="s">
        <v>61</v>
      </c>
      <c r="I1303">
        <v>2023</v>
      </c>
    </row>
    <row r="1304" spans="1:9" x14ac:dyDescent="0.3">
      <c r="A1304">
        <v>204602410</v>
      </c>
      <c r="B1304" s="1">
        <v>44977</v>
      </c>
      <c r="C1304" s="1">
        <v>45005</v>
      </c>
      <c r="D1304" t="s">
        <v>7</v>
      </c>
      <c r="E1304">
        <v>39</v>
      </c>
      <c r="F1304" t="s">
        <v>6</v>
      </c>
      <c r="G1304" s="19">
        <v>28</v>
      </c>
      <c r="H1304" t="s">
        <v>61</v>
      </c>
      <c r="I1304">
        <v>2023</v>
      </c>
    </row>
    <row r="1305" spans="1:9" x14ac:dyDescent="0.3">
      <c r="A1305">
        <v>204853460</v>
      </c>
      <c r="B1305" s="1">
        <v>44977</v>
      </c>
      <c r="C1305" s="1">
        <v>45126</v>
      </c>
      <c r="D1305" t="s">
        <v>7</v>
      </c>
      <c r="E1305">
        <v>39</v>
      </c>
      <c r="F1305" t="s">
        <v>6</v>
      </c>
      <c r="G1305" s="19">
        <v>149</v>
      </c>
      <c r="H1305" t="s">
        <v>61</v>
      </c>
      <c r="I1305">
        <v>2023</v>
      </c>
    </row>
    <row r="1306" spans="1:9" x14ac:dyDescent="0.3">
      <c r="A1306">
        <v>194310997</v>
      </c>
      <c r="B1306" s="1">
        <v>44977</v>
      </c>
      <c r="C1306" s="1">
        <v>45124</v>
      </c>
      <c r="D1306" t="s">
        <v>7</v>
      </c>
      <c r="E1306">
        <v>39</v>
      </c>
      <c r="F1306" t="s">
        <v>6</v>
      </c>
      <c r="G1306" s="19">
        <v>147</v>
      </c>
      <c r="H1306" t="s">
        <v>61</v>
      </c>
      <c r="I1306">
        <v>2023</v>
      </c>
    </row>
    <row r="1307" spans="1:9" x14ac:dyDescent="0.3">
      <c r="A1307">
        <v>204902258</v>
      </c>
      <c r="B1307" s="1">
        <v>44978</v>
      </c>
      <c r="D1307" t="s">
        <v>7</v>
      </c>
      <c r="E1307">
        <v>39</v>
      </c>
      <c r="F1307" t="s">
        <v>6</v>
      </c>
      <c r="H1307" t="s">
        <v>62</v>
      </c>
      <c r="I1307">
        <v>2023</v>
      </c>
    </row>
    <row r="1308" spans="1:9" x14ac:dyDescent="0.3">
      <c r="A1308">
        <v>162865034</v>
      </c>
      <c r="B1308" s="1">
        <v>44978</v>
      </c>
      <c r="C1308" s="1">
        <v>45013</v>
      </c>
      <c r="D1308" t="s">
        <v>7</v>
      </c>
      <c r="E1308">
        <v>39</v>
      </c>
      <c r="F1308" t="s">
        <v>6</v>
      </c>
      <c r="G1308" s="19">
        <v>35</v>
      </c>
      <c r="H1308" t="s">
        <v>62</v>
      </c>
      <c r="I1308">
        <v>2023</v>
      </c>
    </row>
    <row r="1309" spans="1:9" x14ac:dyDescent="0.3">
      <c r="A1309">
        <v>204467695</v>
      </c>
      <c r="B1309" s="1">
        <v>44978</v>
      </c>
      <c r="C1309" s="1">
        <v>45055</v>
      </c>
      <c r="D1309" t="s">
        <v>7</v>
      </c>
      <c r="E1309">
        <v>39</v>
      </c>
      <c r="F1309" t="s">
        <v>6</v>
      </c>
      <c r="G1309" s="19">
        <v>77</v>
      </c>
      <c r="H1309" t="s">
        <v>62</v>
      </c>
      <c r="I1309">
        <v>2023</v>
      </c>
    </row>
    <row r="1310" spans="1:9" x14ac:dyDescent="0.3">
      <c r="A1310">
        <v>204774193</v>
      </c>
      <c r="B1310" s="1">
        <v>44978</v>
      </c>
      <c r="C1310" s="1">
        <v>45076</v>
      </c>
      <c r="D1310" t="s">
        <v>7</v>
      </c>
      <c r="E1310">
        <v>39</v>
      </c>
      <c r="F1310" t="s">
        <v>6</v>
      </c>
      <c r="G1310" s="19">
        <v>98</v>
      </c>
      <c r="H1310" t="s">
        <v>62</v>
      </c>
      <c r="I1310">
        <v>2023</v>
      </c>
    </row>
    <row r="1311" spans="1:9" x14ac:dyDescent="0.3">
      <c r="A1311">
        <v>189046085</v>
      </c>
      <c r="B1311" s="1">
        <v>44978</v>
      </c>
      <c r="C1311" s="1">
        <v>45064</v>
      </c>
      <c r="D1311" t="s">
        <v>7</v>
      </c>
      <c r="E1311">
        <v>39</v>
      </c>
      <c r="F1311" t="s">
        <v>6</v>
      </c>
      <c r="G1311" s="19">
        <v>86</v>
      </c>
      <c r="H1311" t="s">
        <v>62</v>
      </c>
      <c r="I1311">
        <v>2023</v>
      </c>
    </row>
    <row r="1312" spans="1:9" x14ac:dyDescent="0.3">
      <c r="A1312">
        <v>188082436</v>
      </c>
      <c r="B1312" s="1">
        <v>44978</v>
      </c>
      <c r="C1312" s="1">
        <v>45020</v>
      </c>
      <c r="D1312" t="s">
        <v>7</v>
      </c>
      <c r="E1312">
        <v>39</v>
      </c>
      <c r="F1312" t="s">
        <v>6</v>
      </c>
      <c r="G1312" s="19">
        <v>42</v>
      </c>
      <c r="H1312" t="s">
        <v>62</v>
      </c>
      <c r="I1312">
        <v>2023</v>
      </c>
    </row>
    <row r="1313" spans="1:9" x14ac:dyDescent="0.3">
      <c r="A1313">
        <v>204947361</v>
      </c>
      <c r="B1313" s="1">
        <v>44978</v>
      </c>
      <c r="C1313" s="1">
        <v>45021</v>
      </c>
      <c r="D1313" t="s">
        <v>7</v>
      </c>
      <c r="E1313">
        <v>39</v>
      </c>
      <c r="F1313" t="s">
        <v>6</v>
      </c>
      <c r="G1313" s="19">
        <v>43</v>
      </c>
      <c r="H1313" t="s">
        <v>62</v>
      </c>
      <c r="I1313">
        <v>2023</v>
      </c>
    </row>
    <row r="1314" spans="1:9" x14ac:dyDescent="0.3">
      <c r="A1314">
        <v>158852962</v>
      </c>
      <c r="B1314" s="1">
        <v>44978</v>
      </c>
      <c r="C1314" s="1">
        <v>45030</v>
      </c>
      <c r="D1314" t="s">
        <v>7</v>
      </c>
      <c r="E1314">
        <v>39</v>
      </c>
      <c r="F1314" t="s">
        <v>6</v>
      </c>
      <c r="G1314" s="19">
        <v>52</v>
      </c>
      <c r="H1314" t="s">
        <v>62</v>
      </c>
      <c r="I1314">
        <v>2023</v>
      </c>
    </row>
    <row r="1315" spans="1:9" x14ac:dyDescent="0.3">
      <c r="A1315">
        <v>204742960</v>
      </c>
      <c r="B1315" s="1">
        <v>44978</v>
      </c>
      <c r="C1315" s="1">
        <v>44991</v>
      </c>
      <c r="D1315" t="s">
        <v>7</v>
      </c>
      <c r="E1315">
        <v>39</v>
      </c>
      <c r="F1315" t="s">
        <v>6</v>
      </c>
      <c r="G1315" s="19">
        <v>13</v>
      </c>
      <c r="H1315" t="s">
        <v>62</v>
      </c>
      <c r="I1315">
        <v>2023</v>
      </c>
    </row>
    <row r="1316" spans="1:9" x14ac:dyDescent="0.3">
      <c r="A1316">
        <v>204726042</v>
      </c>
      <c r="B1316" s="1">
        <v>44978</v>
      </c>
      <c r="C1316" s="1">
        <v>45002</v>
      </c>
      <c r="D1316" t="s">
        <v>7</v>
      </c>
      <c r="E1316">
        <v>39</v>
      </c>
      <c r="F1316" t="s">
        <v>6</v>
      </c>
      <c r="G1316" s="19">
        <v>24</v>
      </c>
      <c r="H1316" t="s">
        <v>62</v>
      </c>
      <c r="I1316">
        <v>2023</v>
      </c>
    </row>
    <row r="1317" spans="1:9" x14ac:dyDescent="0.3">
      <c r="A1317">
        <v>204997225</v>
      </c>
      <c r="B1317" s="1">
        <v>44979</v>
      </c>
      <c r="D1317" t="s">
        <v>7</v>
      </c>
      <c r="E1317">
        <v>39</v>
      </c>
      <c r="F1317" t="s">
        <v>6</v>
      </c>
      <c r="H1317" t="s">
        <v>63</v>
      </c>
      <c r="I1317">
        <v>2023</v>
      </c>
    </row>
    <row r="1318" spans="1:9" x14ac:dyDescent="0.3">
      <c r="A1318">
        <v>126103612</v>
      </c>
      <c r="B1318" s="1">
        <v>44979</v>
      </c>
      <c r="D1318" t="s">
        <v>7</v>
      </c>
      <c r="E1318">
        <v>39</v>
      </c>
      <c r="F1318" t="s">
        <v>6</v>
      </c>
      <c r="H1318" t="s">
        <v>63</v>
      </c>
      <c r="I1318">
        <v>2023</v>
      </c>
    </row>
    <row r="1319" spans="1:9" x14ac:dyDescent="0.3">
      <c r="A1319">
        <v>204934860</v>
      </c>
      <c r="B1319" s="1">
        <v>44979</v>
      </c>
      <c r="C1319" s="1">
        <v>44980</v>
      </c>
      <c r="D1319" t="s">
        <v>8</v>
      </c>
      <c r="E1319">
        <v>39</v>
      </c>
      <c r="F1319" t="s">
        <v>6</v>
      </c>
      <c r="G1319" s="19">
        <v>1</v>
      </c>
      <c r="H1319" t="s">
        <v>63</v>
      </c>
      <c r="I1319">
        <v>2023</v>
      </c>
    </row>
    <row r="1320" spans="1:9" x14ac:dyDescent="0.3">
      <c r="A1320">
        <v>197086298</v>
      </c>
      <c r="B1320" s="1">
        <v>44979</v>
      </c>
      <c r="C1320" s="1">
        <v>45048</v>
      </c>
      <c r="D1320" t="s">
        <v>7</v>
      </c>
      <c r="E1320">
        <v>39</v>
      </c>
      <c r="F1320" t="s">
        <v>6</v>
      </c>
      <c r="G1320" s="19">
        <v>69</v>
      </c>
      <c r="H1320" t="s">
        <v>63</v>
      </c>
      <c r="I1320">
        <v>2023</v>
      </c>
    </row>
    <row r="1321" spans="1:9" x14ac:dyDescent="0.3">
      <c r="A1321">
        <v>204732760</v>
      </c>
      <c r="B1321" s="1">
        <v>44979</v>
      </c>
      <c r="C1321" s="1">
        <v>45037</v>
      </c>
      <c r="D1321" t="s">
        <v>7</v>
      </c>
      <c r="E1321">
        <v>39</v>
      </c>
      <c r="F1321" t="s">
        <v>6</v>
      </c>
      <c r="G1321" s="19">
        <v>58</v>
      </c>
      <c r="H1321" t="s">
        <v>63</v>
      </c>
      <c r="I1321">
        <v>2023</v>
      </c>
    </row>
    <row r="1322" spans="1:9" x14ac:dyDescent="0.3">
      <c r="A1322">
        <v>204985175</v>
      </c>
      <c r="B1322" s="1">
        <v>44979</v>
      </c>
      <c r="C1322" s="1">
        <v>45029</v>
      </c>
      <c r="D1322" t="s">
        <v>7</v>
      </c>
      <c r="E1322">
        <v>39</v>
      </c>
      <c r="F1322" t="s">
        <v>6</v>
      </c>
      <c r="G1322" s="19">
        <v>50</v>
      </c>
      <c r="H1322" t="s">
        <v>63</v>
      </c>
      <c r="I1322">
        <v>2023</v>
      </c>
    </row>
    <row r="1323" spans="1:9" x14ac:dyDescent="0.3">
      <c r="A1323">
        <v>189387698</v>
      </c>
      <c r="B1323" s="1">
        <v>44979</v>
      </c>
      <c r="C1323" s="1">
        <v>45023</v>
      </c>
      <c r="D1323" t="s">
        <v>7</v>
      </c>
      <c r="E1323">
        <v>39</v>
      </c>
      <c r="F1323" t="s">
        <v>6</v>
      </c>
      <c r="G1323" s="19">
        <v>44</v>
      </c>
      <c r="H1323" t="s">
        <v>63</v>
      </c>
      <c r="I1323">
        <v>2023</v>
      </c>
    </row>
    <row r="1324" spans="1:9" x14ac:dyDescent="0.3">
      <c r="A1324">
        <v>144160302</v>
      </c>
      <c r="B1324" s="1">
        <v>44979</v>
      </c>
      <c r="C1324" s="1">
        <v>45022</v>
      </c>
      <c r="D1324" t="s">
        <v>7</v>
      </c>
      <c r="E1324">
        <v>39</v>
      </c>
      <c r="F1324" t="s">
        <v>6</v>
      </c>
      <c r="G1324" s="19">
        <v>43</v>
      </c>
      <c r="H1324" t="s">
        <v>63</v>
      </c>
      <c r="I1324">
        <v>2023</v>
      </c>
    </row>
    <row r="1325" spans="1:9" x14ac:dyDescent="0.3">
      <c r="A1325">
        <v>195774465</v>
      </c>
      <c r="B1325" s="1">
        <v>44979</v>
      </c>
      <c r="C1325" s="1">
        <v>45045</v>
      </c>
      <c r="D1325" t="s">
        <v>7</v>
      </c>
      <c r="E1325">
        <v>39</v>
      </c>
      <c r="F1325" t="s">
        <v>6</v>
      </c>
      <c r="G1325" s="19">
        <v>66</v>
      </c>
      <c r="H1325" t="s">
        <v>63</v>
      </c>
      <c r="I1325">
        <v>2023</v>
      </c>
    </row>
    <row r="1326" spans="1:9" x14ac:dyDescent="0.3">
      <c r="A1326">
        <v>204890622</v>
      </c>
      <c r="B1326" s="1">
        <v>44979</v>
      </c>
      <c r="C1326" s="1">
        <v>45003</v>
      </c>
      <c r="D1326" t="s">
        <v>7</v>
      </c>
      <c r="E1326">
        <v>39</v>
      </c>
      <c r="F1326" t="s">
        <v>6</v>
      </c>
      <c r="G1326" s="19">
        <v>24</v>
      </c>
      <c r="H1326" t="s">
        <v>63</v>
      </c>
      <c r="I1326">
        <v>2023</v>
      </c>
    </row>
    <row r="1327" spans="1:9" x14ac:dyDescent="0.3">
      <c r="A1327">
        <v>204206841</v>
      </c>
      <c r="B1327" s="1">
        <v>44979</v>
      </c>
      <c r="C1327" s="1">
        <v>44993</v>
      </c>
      <c r="D1327" t="s">
        <v>7</v>
      </c>
      <c r="E1327">
        <v>39</v>
      </c>
      <c r="F1327" t="s">
        <v>6</v>
      </c>
      <c r="G1327" s="19">
        <v>14</v>
      </c>
      <c r="H1327" t="s">
        <v>63</v>
      </c>
      <c r="I1327">
        <v>2023</v>
      </c>
    </row>
    <row r="1328" spans="1:9" x14ac:dyDescent="0.3">
      <c r="A1328">
        <v>204955216</v>
      </c>
      <c r="B1328" s="1">
        <v>44979</v>
      </c>
      <c r="C1328" s="1">
        <v>45005</v>
      </c>
      <c r="D1328" t="s">
        <v>7</v>
      </c>
      <c r="E1328">
        <v>39</v>
      </c>
      <c r="F1328" t="s">
        <v>6</v>
      </c>
      <c r="G1328" s="19">
        <v>26</v>
      </c>
      <c r="H1328" t="s">
        <v>63</v>
      </c>
      <c r="I1328">
        <v>2023</v>
      </c>
    </row>
    <row r="1329" spans="1:9" x14ac:dyDescent="0.3">
      <c r="A1329">
        <v>204992891</v>
      </c>
      <c r="B1329" s="1">
        <v>44979</v>
      </c>
      <c r="C1329" s="1">
        <v>45141</v>
      </c>
      <c r="D1329" t="s">
        <v>7</v>
      </c>
      <c r="E1329">
        <v>39</v>
      </c>
      <c r="F1329" t="s">
        <v>6</v>
      </c>
      <c r="G1329" s="19">
        <v>162</v>
      </c>
      <c r="H1329" t="s">
        <v>63</v>
      </c>
      <c r="I1329">
        <v>2023</v>
      </c>
    </row>
    <row r="1330" spans="1:9" x14ac:dyDescent="0.3">
      <c r="A1330">
        <v>139152786</v>
      </c>
      <c r="B1330" s="1">
        <v>44980</v>
      </c>
      <c r="D1330" t="s">
        <v>7</v>
      </c>
      <c r="E1330">
        <v>39</v>
      </c>
      <c r="F1330" t="s">
        <v>6</v>
      </c>
      <c r="H1330" t="s">
        <v>64</v>
      </c>
      <c r="I1330">
        <v>2023</v>
      </c>
    </row>
    <row r="1331" spans="1:9" x14ac:dyDescent="0.3">
      <c r="A1331">
        <v>204753108</v>
      </c>
      <c r="B1331" s="1">
        <v>44980</v>
      </c>
      <c r="D1331" t="s">
        <v>7</v>
      </c>
      <c r="E1331">
        <v>39</v>
      </c>
      <c r="F1331" t="s">
        <v>6</v>
      </c>
      <c r="H1331" t="s">
        <v>64</v>
      </c>
      <c r="I1331">
        <v>2023</v>
      </c>
    </row>
    <row r="1332" spans="1:9" x14ac:dyDescent="0.3">
      <c r="A1332">
        <v>136703646</v>
      </c>
      <c r="B1332" s="1">
        <v>44980</v>
      </c>
      <c r="C1332" s="1">
        <v>45023</v>
      </c>
      <c r="D1332" t="s">
        <v>7</v>
      </c>
      <c r="E1332">
        <v>39</v>
      </c>
      <c r="F1332" t="s">
        <v>6</v>
      </c>
      <c r="G1332" s="19">
        <v>43</v>
      </c>
      <c r="H1332" t="s">
        <v>64</v>
      </c>
      <c r="I1332">
        <v>2023</v>
      </c>
    </row>
    <row r="1333" spans="1:9" x14ac:dyDescent="0.3">
      <c r="A1333">
        <v>204294672</v>
      </c>
      <c r="B1333" s="1">
        <v>44980</v>
      </c>
      <c r="C1333" s="1">
        <v>45077</v>
      </c>
      <c r="D1333" t="s">
        <v>7</v>
      </c>
      <c r="E1333">
        <v>39</v>
      </c>
      <c r="F1333" t="s">
        <v>6</v>
      </c>
      <c r="G1333" s="19">
        <v>97</v>
      </c>
      <c r="H1333" t="s">
        <v>64</v>
      </c>
      <c r="I1333">
        <v>2023</v>
      </c>
    </row>
    <row r="1334" spans="1:9" x14ac:dyDescent="0.3">
      <c r="A1334">
        <v>189505981</v>
      </c>
      <c r="B1334" s="1">
        <v>44980</v>
      </c>
      <c r="C1334" s="1">
        <v>45046</v>
      </c>
      <c r="D1334" t="s">
        <v>7</v>
      </c>
      <c r="E1334">
        <v>39</v>
      </c>
      <c r="F1334" t="s">
        <v>6</v>
      </c>
      <c r="G1334" s="19">
        <v>66</v>
      </c>
      <c r="H1334" t="s">
        <v>64</v>
      </c>
      <c r="I1334">
        <v>2023</v>
      </c>
    </row>
    <row r="1335" spans="1:9" x14ac:dyDescent="0.3">
      <c r="A1335">
        <v>115899168</v>
      </c>
      <c r="B1335" s="1">
        <v>44980</v>
      </c>
      <c r="C1335" s="1">
        <v>45019</v>
      </c>
      <c r="D1335" t="s">
        <v>7</v>
      </c>
      <c r="E1335">
        <v>39</v>
      </c>
      <c r="F1335" t="s">
        <v>6</v>
      </c>
      <c r="G1335" s="19">
        <v>39</v>
      </c>
      <c r="H1335" t="s">
        <v>64</v>
      </c>
      <c r="I1335">
        <v>2023</v>
      </c>
    </row>
    <row r="1336" spans="1:9" x14ac:dyDescent="0.3">
      <c r="A1336">
        <v>200117920</v>
      </c>
      <c r="B1336" s="1">
        <v>44980</v>
      </c>
      <c r="C1336" s="1">
        <v>45007</v>
      </c>
      <c r="D1336" t="s">
        <v>7</v>
      </c>
      <c r="E1336">
        <v>39</v>
      </c>
      <c r="F1336" t="s">
        <v>6</v>
      </c>
      <c r="G1336" s="19">
        <v>27</v>
      </c>
      <c r="H1336" t="s">
        <v>64</v>
      </c>
      <c r="I1336">
        <v>2023</v>
      </c>
    </row>
    <row r="1337" spans="1:9" x14ac:dyDescent="0.3">
      <c r="A1337">
        <v>205057455</v>
      </c>
      <c r="B1337" s="1">
        <v>44980</v>
      </c>
      <c r="C1337" s="1">
        <v>45011</v>
      </c>
      <c r="D1337" t="s">
        <v>7</v>
      </c>
      <c r="E1337">
        <v>39</v>
      </c>
      <c r="F1337" t="s">
        <v>6</v>
      </c>
      <c r="G1337" s="19">
        <v>31</v>
      </c>
      <c r="H1337" t="s">
        <v>64</v>
      </c>
      <c r="I1337">
        <v>2023</v>
      </c>
    </row>
    <row r="1338" spans="1:9" x14ac:dyDescent="0.3">
      <c r="A1338">
        <v>205028691</v>
      </c>
      <c r="B1338" s="1">
        <v>44980</v>
      </c>
      <c r="C1338" s="1">
        <v>44995</v>
      </c>
      <c r="D1338" t="s">
        <v>7</v>
      </c>
      <c r="E1338">
        <v>39</v>
      </c>
      <c r="F1338" t="s">
        <v>6</v>
      </c>
      <c r="G1338" s="19">
        <v>15</v>
      </c>
      <c r="H1338" t="s">
        <v>64</v>
      </c>
      <c r="I1338">
        <v>2023</v>
      </c>
    </row>
    <row r="1339" spans="1:9" x14ac:dyDescent="0.3">
      <c r="A1339">
        <v>204857146</v>
      </c>
      <c r="B1339" s="1">
        <v>44980</v>
      </c>
      <c r="C1339" s="1">
        <v>44995</v>
      </c>
      <c r="D1339" t="s">
        <v>7</v>
      </c>
      <c r="E1339">
        <v>39</v>
      </c>
      <c r="F1339" t="s">
        <v>6</v>
      </c>
      <c r="G1339" s="19">
        <v>15</v>
      </c>
      <c r="H1339" t="s">
        <v>64</v>
      </c>
      <c r="I1339">
        <v>2023</v>
      </c>
    </row>
    <row r="1340" spans="1:9" x14ac:dyDescent="0.3">
      <c r="A1340">
        <v>134131772</v>
      </c>
      <c r="B1340" s="1">
        <v>44981</v>
      </c>
      <c r="C1340" s="1">
        <v>45093</v>
      </c>
      <c r="D1340" t="s">
        <v>7</v>
      </c>
      <c r="E1340">
        <v>39</v>
      </c>
      <c r="F1340" t="s">
        <v>6</v>
      </c>
      <c r="G1340" s="19">
        <v>112</v>
      </c>
      <c r="H1340" t="s">
        <v>65</v>
      </c>
      <c r="I1340">
        <v>2023</v>
      </c>
    </row>
    <row r="1341" spans="1:9" x14ac:dyDescent="0.3">
      <c r="A1341">
        <v>148942254</v>
      </c>
      <c r="B1341" s="1">
        <v>44981</v>
      </c>
      <c r="C1341" s="1">
        <v>45088</v>
      </c>
      <c r="D1341" t="s">
        <v>7</v>
      </c>
      <c r="E1341">
        <v>39</v>
      </c>
      <c r="F1341" t="s">
        <v>6</v>
      </c>
      <c r="G1341" s="19">
        <v>107</v>
      </c>
      <c r="H1341" t="s">
        <v>65</v>
      </c>
      <c r="I1341">
        <v>2023</v>
      </c>
    </row>
    <row r="1342" spans="1:9" x14ac:dyDescent="0.3">
      <c r="A1342">
        <v>204512235</v>
      </c>
      <c r="B1342" s="1">
        <v>44981</v>
      </c>
      <c r="C1342" s="1">
        <v>45093</v>
      </c>
      <c r="D1342" t="s">
        <v>7</v>
      </c>
      <c r="E1342">
        <v>39</v>
      </c>
      <c r="F1342" t="s">
        <v>6</v>
      </c>
      <c r="G1342" s="19">
        <v>112</v>
      </c>
      <c r="H1342" t="s">
        <v>65</v>
      </c>
      <c r="I1342">
        <v>2023</v>
      </c>
    </row>
    <row r="1343" spans="1:9" x14ac:dyDescent="0.3">
      <c r="A1343">
        <v>204977028</v>
      </c>
      <c r="B1343" s="1">
        <v>44981</v>
      </c>
      <c r="C1343" s="1">
        <v>45047</v>
      </c>
      <c r="D1343" t="s">
        <v>7</v>
      </c>
      <c r="E1343">
        <v>39</v>
      </c>
      <c r="F1343" t="s">
        <v>6</v>
      </c>
      <c r="G1343" s="19">
        <v>66</v>
      </c>
      <c r="H1343" t="s">
        <v>65</v>
      </c>
      <c r="I1343">
        <v>2023</v>
      </c>
    </row>
    <row r="1344" spans="1:9" x14ac:dyDescent="0.3">
      <c r="A1344">
        <v>205122220</v>
      </c>
      <c r="B1344" s="1">
        <v>44981</v>
      </c>
      <c r="C1344" s="1">
        <v>45029</v>
      </c>
      <c r="D1344" t="s">
        <v>7</v>
      </c>
      <c r="E1344">
        <v>39</v>
      </c>
      <c r="F1344" t="s">
        <v>6</v>
      </c>
      <c r="G1344" s="19">
        <v>48</v>
      </c>
      <c r="H1344" t="s">
        <v>65</v>
      </c>
      <c r="I1344">
        <v>2023</v>
      </c>
    </row>
    <row r="1345" spans="1:9" x14ac:dyDescent="0.3">
      <c r="A1345">
        <v>179578904</v>
      </c>
      <c r="B1345" s="1">
        <v>44981</v>
      </c>
      <c r="C1345" s="1">
        <v>45034</v>
      </c>
      <c r="D1345" t="s">
        <v>7</v>
      </c>
      <c r="E1345">
        <v>39</v>
      </c>
      <c r="F1345" t="s">
        <v>6</v>
      </c>
      <c r="G1345" s="19">
        <v>53</v>
      </c>
      <c r="H1345" t="s">
        <v>65</v>
      </c>
      <c r="I1345">
        <v>2023</v>
      </c>
    </row>
    <row r="1346" spans="1:9" x14ac:dyDescent="0.3">
      <c r="A1346">
        <v>205120086</v>
      </c>
      <c r="B1346" s="1">
        <v>44981</v>
      </c>
      <c r="C1346" s="1">
        <v>45020</v>
      </c>
      <c r="D1346" t="s">
        <v>7</v>
      </c>
      <c r="E1346">
        <v>39</v>
      </c>
      <c r="F1346" t="s">
        <v>6</v>
      </c>
      <c r="G1346" s="19">
        <v>39</v>
      </c>
      <c r="H1346" t="s">
        <v>65</v>
      </c>
      <c r="I1346">
        <v>2023</v>
      </c>
    </row>
    <row r="1347" spans="1:9" x14ac:dyDescent="0.3">
      <c r="A1347">
        <v>158097854</v>
      </c>
      <c r="B1347" s="1">
        <v>44981</v>
      </c>
      <c r="C1347" s="1">
        <v>45015</v>
      </c>
      <c r="D1347" t="s">
        <v>7</v>
      </c>
      <c r="E1347">
        <v>39</v>
      </c>
      <c r="F1347" t="s">
        <v>6</v>
      </c>
      <c r="G1347" s="19">
        <v>34</v>
      </c>
      <c r="H1347" t="s">
        <v>65</v>
      </c>
      <c r="I1347">
        <v>2023</v>
      </c>
    </row>
    <row r="1348" spans="1:9" x14ac:dyDescent="0.3">
      <c r="A1348">
        <v>204760569</v>
      </c>
      <c r="B1348" s="1">
        <v>44981</v>
      </c>
      <c r="C1348" s="1">
        <v>45000</v>
      </c>
      <c r="D1348" t="s">
        <v>7</v>
      </c>
      <c r="E1348">
        <v>39</v>
      </c>
      <c r="F1348" t="s">
        <v>6</v>
      </c>
      <c r="G1348" s="19">
        <v>19</v>
      </c>
      <c r="H1348" t="s">
        <v>65</v>
      </c>
      <c r="I1348">
        <v>2023</v>
      </c>
    </row>
    <row r="1349" spans="1:9" x14ac:dyDescent="0.3">
      <c r="A1349">
        <v>204982432</v>
      </c>
      <c r="B1349" s="1">
        <v>44981</v>
      </c>
      <c r="C1349" s="1">
        <v>45016</v>
      </c>
      <c r="D1349" t="s">
        <v>7</v>
      </c>
      <c r="E1349">
        <v>39</v>
      </c>
      <c r="F1349" t="s">
        <v>6</v>
      </c>
      <c r="G1349" s="19">
        <v>35</v>
      </c>
      <c r="H1349" t="s">
        <v>65</v>
      </c>
      <c r="I1349">
        <v>2023</v>
      </c>
    </row>
    <row r="1350" spans="1:9" x14ac:dyDescent="0.3">
      <c r="A1350">
        <v>158351648</v>
      </c>
      <c r="B1350" s="1">
        <v>44981</v>
      </c>
      <c r="C1350" s="1">
        <v>45170</v>
      </c>
      <c r="D1350" t="s">
        <v>7</v>
      </c>
      <c r="E1350">
        <v>39</v>
      </c>
      <c r="F1350" t="s">
        <v>6</v>
      </c>
      <c r="G1350" s="19">
        <v>189</v>
      </c>
      <c r="H1350" t="s">
        <v>65</v>
      </c>
      <c r="I1350">
        <v>2023</v>
      </c>
    </row>
    <row r="1351" spans="1:9" x14ac:dyDescent="0.3">
      <c r="A1351">
        <v>195325206</v>
      </c>
      <c r="B1351" s="1">
        <v>44982</v>
      </c>
      <c r="D1351" t="s">
        <v>7</v>
      </c>
      <c r="E1351">
        <v>39</v>
      </c>
      <c r="F1351" t="s">
        <v>6</v>
      </c>
      <c r="H1351" t="s">
        <v>66</v>
      </c>
      <c r="I1351">
        <v>2023</v>
      </c>
    </row>
    <row r="1352" spans="1:9" x14ac:dyDescent="0.3">
      <c r="A1352">
        <v>205102955</v>
      </c>
      <c r="B1352" s="1">
        <v>44982</v>
      </c>
      <c r="D1352" t="s">
        <v>7</v>
      </c>
      <c r="E1352">
        <v>39</v>
      </c>
      <c r="F1352" t="s">
        <v>6</v>
      </c>
      <c r="H1352" t="s">
        <v>66</v>
      </c>
      <c r="I1352">
        <v>2023</v>
      </c>
    </row>
    <row r="1353" spans="1:9" x14ac:dyDescent="0.3">
      <c r="A1353">
        <v>188092110</v>
      </c>
      <c r="B1353" s="1">
        <v>44982</v>
      </c>
      <c r="C1353" s="1">
        <v>45025</v>
      </c>
      <c r="D1353" t="s">
        <v>7</v>
      </c>
      <c r="E1353">
        <v>39</v>
      </c>
      <c r="F1353" t="s">
        <v>6</v>
      </c>
      <c r="G1353" s="19">
        <v>43</v>
      </c>
      <c r="H1353" t="s">
        <v>66</v>
      </c>
      <c r="I1353">
        <v>2023</v>
      </c>
    </row>
    <row r="1354" spans="1:9" x14ac:dyDescent="0.3">
      <c r="A1354">
        <v>147615998</v>
      </c>
      <c r="B1354" s="1">
        <v>44982</v>
      </c>
      <c r="C1354" s="1">
        <v>45032</v>
      </c>
      <c r="D1354" t="s">
        <v>7</v>
      </c>
      <c r="E1354">
        <v>39</v>
      </c>
      <c r="F1354" t="s">
        <v>6</v>
      </c>
      <c r="G1354" s="19">
        <v>50</v>
      </c>
      <c r="H1354" t="s">
        <v>66</v>
      </c>
      <c r="I1354">
        <v>2023</v>
      </c>
    </row>
    <row r="1355" spans="1:9" x14ac:dyDescent="0.3">
      <c r="A1355">
        <v>164751472</v>
      </c>
      <c r="B1355" s="1">
        <v>44982</v>
      </c>
      <c r="C1355" s="1">
        <v>45032</v>
      </c>
      <c r="D1355" t="s">
        <v>7</v>
      </c>
      <c r="E1355">
        <v>39</v>
      </c>
      <c r="F1355" t="s">
        <v>6</v>
      </c>
      <c r="G1355" s="19">
        <v>50</v>
      </c>
      <c r="H1355" t="s">
        <v>66</v>
      </c>
      <c r="I1355">
        <v>2023</v>
      </c>
    </row>
    <row r="1356" spans="1:9" x14ac:dyDescent="0.3">
      <c r="A1356">
        <v>205215538</v>
      </c>
      <c r="B1356" s="1">
        <v>44982</v>
      </c>
      <c r="C1356" s="1">
        <v>44987</v>
      </c>
      <c r="D1356" t="s">
        <v>7</v>
      </c>
      <c r="E1356">
        <v>39</v>
      </c>
      <c r="F1356" t="s">
        <v>6</v>
      </c>
      <c r="G1356" s="19">
        <v>5</v>
      </c>
      <c r="H1356" t="s">
        <v>66</v>
      </c>
      <c r="I1356">
        <v>2023</v>
      </c>
    </row>
    <row r="1357" spans="1:9" x14ac:dyDescent="0.3">
      <c r="A1357">
        <v>162962849</v>
      </c>
      <c r="B1357" s="1">
        <v>44983</v>
      </c>
      <c r="C1357" s="1">
        <v>45051</v>
      </c>
      <c r="D1357" t="s">
        <v>7</v>
      </c>
      <c r="E1357">
        <v>39</v>
      </c>
      <c r="F1357" t="s">
        <v>6</v>
      </c>
      <c r="G1357" s="19">
        <v>68</v>
      </c>
      <c r="H1357" t="s">
        <v>60</v>
      </c>
      <c r="I1357">
        <v>2023</v>
      </c>
    </row>
    <row r="1358" spans="1:9" x14ac:dyDescent="0.3">
      <c r="A1358">
        <v>154229833</v>
      </c>
      <c r="B1358" s="1">
        <v>44983</v>
      </c>
      <c r="C1358" s="1">
        <v>44999</v>
      </c>
      <c r="D1358" t="s">
        <v>7</v>
      </c>
      <c r="E1358">
        <v>39</v>
      </c>
      <c r="F1358" t="s">
        <v>6</v>
      </c>
      <c r="G1358" s="19">
        <v>16</v>
      </c>
      <c r="H1358" t="s">
        <v>60</v>
      </c>
      <c r="I1358">
        <v>2023</v>
      </c>
    </row>
    <row r="1359" spans="1:9" x14ac:dyDescent="0.3">
      <c r="A1359">
        <v>205338718</v>
      </c>
      <c r="B1359" s="1">
        <v>44983</v>
      </c>
      <c r="C1359" s="1">
        <v>45012</v>
      </c>
      <c r="D1359" t="s">
        <v>7</v>
      </c>
      <c r="E1359">
        <v>39</v>
      </c>
      <c r="F1359" t="s">
        <v>6</v>
      </c>
      <c r="G1359" s="19">
        <v>29</v>
      </c>
      <c r="H1359" t="s">
        <v>60</v>
      </c>
      <c r="I1359">
        <v>2023</v>
      </c>
    </row>
    <row r="1360" spans="1:9" x14ac:dyDescent="0.3">
      <c r="A1360">
        <v>180798046</v>
      </c>
      <c r="B1360" s="1">
        <v>44984</v>
      </c>
      <c r="D1360" t="s">
        <v>7</v>
      </c>
      <c r="E1360">
        <v>39</v>
      </c>
      <c r="F1360" t="s">
        <v>6</v>
      </c>
      <c r="H1360" t="s">
        <v>61</v>
      </c>
      <c r="I1360">
        <v>2023</v>
      </c>
    </row>
    <row r="1361" spans="1:9" x14ac:dyDescent="0.3">
      <c r="A1361">
        <v>135298992</v>
      </c>
      <c r="B1361" s="1">
        <v>44984</v>
      </c>
      <c r="C1361" s="1">
        <v>45004</v>
      </c>
      <c r="D1361" t="s">
        <v>7</v>
      </c>
      <c r="E1361">
        <v>39</v>
      </c>
      <c r="F1361" t="s">
        <v>6</v>
      </c>
      <c r="G1361" s="19">
        <v>20</v>
      </c>
      <c r="H1361" t="s">
        <v>61</v>
      </c>
      <c r="I1361">
        <v>2023</v>
      </c>
    </row>
    <row r="1362" spans="1:9" x14ac:dyDescent="0.3">
      <c r="A1362">
        <v>153141802</v>
      </c>
      <c r="B1362" s="1">
        <v>44984</v>
      </c>
      <c r="C1362" s="1">
        <v>45080</v>
      </c>
      <c r="D1362" t="s">
        <v>7</v>
      </c>
      <c r="E1362">
        <v>39</v>
      </c>
      <c r="F1362" t="s">
        <v>6</v>
      </c>
      <c r="G1362" s="19">
        <v>96</v>
      </c>
      <c r="H1362" t="s">
        <v>61</v>
      </c>
      <c r="I1362">
        <v>2023</v>
      </c>
    </row>
    <row r="1363" spans="1:9" x14ac:dyDescent="0.3">
      <c r="A1363">
        <v>189149014</v>
      </c>
      <c r="B1363" s="1">
        <v>44984</v>
      </c>
      <c r="C1363" s="1">
        <v>45097</v>
      </c>
      <c r="D1363" t="s">
        <v>7</v>
      </c>
      <c r="E1363">
        <v>39</v>
      </c>
      <c r="F1363" t="s">
        <v>6</v>
      </c>
      <c r="G1363" s="19">
        <v>113</v>
      </c>
      <c r="H1363" t="s">
        <v>61</v>
      </c>
      <c r="I1363">
        <v>2023</v>
      </c>
    </row>
    <row r="1364" spans="1:9" x14ac:dyDescent="0.3">
      <c r="A1364">
        <v>180438277</v>
      </c>
      <c r="B1364" s="1">
        <v>44984</v>
      </c>
      <c r="C1364" s="1">
        <v>45065</v>
      </c>
      <c r="D1364" t="s">
        <v>7</v>
      </c>
      <c r="E1364">
        <v>39</v>
      </c>
      <c r="F1364" t="s">
        <v>6</v>
      </c>
      <c r="G1364" s="19">
        <v>81</v>
      </c>
      <c r="H1364" t="s">
        <v>61</v>
      </c>
      <c r="I1364">
        <v>2023</v>
      </c>
    </row>
    <row r="1365" spans="1:9" x14ac:dyDescent="0.3">
      <c r="A1365">
        <v>205471532</v>
      </c>
      <c r="B1365" s="1">
        <v>44984</v>
      </c>
      <c r="C1365" s="1">
        <v>45043</v>
      </c>
      <c r="D1365" t="s">
        <v>7</v>
      </c>
      <c r="E1365">
        <v>39</v>
      </c>
      <c r="F1365" t="s">
        <v>6</v>
      </c>
      <c r="G1365" s="19">
        <v>59</v>
      </c>
      <c r="H1365" t="s">
        <v>61</v>
      </c>
      <c r="I1365">
        <v>2023</v>
      </c>
    </row>
    <row r="1366" spans="1:9" x14ac:dyDescent="0.3">
      <c r="A1366">
        <v>188065488</v>
      </c>
      <c r="B1366" s="1">
        <v>44984</v>
      </c>
      <c r="C1366" s="1">
        <v>45041</v>
      </c>
      <c r="D1366" t="s">
        <v>7</v>
      </c>
      <c r="E1366">
        <v>39</v>
      </c>
      <c r="F1366" t="s">
        <v>6</v>
      </c>
      <c r="G1366" s="19">
        <v>57</v>
      </c>
      <c r="H1366" t="s">
        <v>61</v>
      </c>
      <c r="I1366">
        <v>2023</v>
      </c>
    </row>
    <row r="1367" spans="1:9" x14ac:dyDescent="0.3">
      <c r="A1367">
        <v>205387672</v>
      </c>
      <c r="B1367" s="1">
        <v>44984</v>
      </c>
      <c r="C1367" s="1">
        <v>45025</v>
      </c>
      <c r="D1367" t="s">
        <v>7</v>
      </c>
      <c r="E1367">
        <v>39</v>
      </c>
      <c r="F1367" t="s">
        <v>6</v>
      </c>
      <c r="G1367" s="19">
        <v>41</v>
      </c>
      <c r="H1367" t="s">
        <v>61</v>
      </c>
      <c r="I1367">
        <v>2023</v>
      </c>
    </row>
    <row r="1368" spans="1:9" x14ac:dyDescent="0.3">
      <c r="A1368">
        <v>196251908</v>
      </c>
      <c r="B1368" s="1">
        <v>44984</v>
      </c>
      <c r="C1368" s="1">
        <v>44984</v>
      </c>
      <c r="D1368" t="s">
        <v>7</v>
      </c>
      <c r="E1368">
        <v>39</v>
      </c>
      <c r="F1368" t="s">
        <v>6</v>
      </c>
      <c r="G1368" s="19">
        <v>0</v>
      </c>
      <c r="H1368" t="s">
        <v>61</v>
      </c>
      <c r="I1368">
        <v>2023</v>
      </c>
    </row>
    <row r="1369" spans="1:9" x14ac:dyDescent="0.3">
      <c r="A1369">
        <v>157884031</v>
      </c>
      <c r="B1369" s="1">
        <v>44984</v>
      </c>
      <c r="C1369" s="1">
        <v>45015</v>
      </c>
      <c r="D1369" t="s">
        <v>7</v>
      </c>
      <c r="E1369">
        <v>39</v>
      </c>
      <c r="F1369" t="s">
        <v>6</v>
      </c>
      <c r="G1369" s="19">
        <v>31</v>
      </c>
      <c r="H1369" t="s">
        <v>61</v>
      </c>
      <c r="I1369">
        <v>2023</v>
      </c>
    </row>
    <row r="1370" spans="1:9" x14ac:dyDescent="0.3">
      <c r="A1370">
        <v>204571386</v>
      </c>
      <c r="B1370" s="1">
        <v>44984</v>
      </c>
      <c r="C1370" s="1">
        <v>45008</v>
      </c>
      <c r="D1370" t="s">
        <v>7</v>
      </c>
      <c r="E1370">
        <v>39</v>
      </c>
      <c r="F1370" t="s">
        <v>6</v>
      </c>
      <c r="G1370" s="19">
        <v>24</v>
      </c>
      <c r="H1370" t="s">
        <v>61</v>
      </c>
      <c r="I1370">
        <v>2023</v>
      </c>
    </row>
    <row r="1371" spans="1:9" x14ac:dyDescent="0.3">
      <c r="A1371">
        <v>162909529</v>
      </c>
      <c r="B1371" s="1">
        <v>44984</v>
      </c>
      <c r="C1371" s="1">
        <v>45139</v>
      </c>
      <c r="D1371" t="s">
        <v>7</v>
      </c>
      <c r="E1371">
        <v>39</v>
      </c>
      <c r="F1371" t="s">
        <v>6</v>
      </c>
      <c r="G1371" s="19">
        <v>155</v>
      </c>
      <c r="H1371" t="s">
        <v>61</v>
      </c>
      <c r="I1371">
        <v>2023</v>
      </c>
    </row>
    <row r="1372" spans="1:9" x14ac:dyDescent="0.3">
      <c r="A1372">
        <v>152043244</v>
      </c>
      <c r="B1372" s="1">
        <v>44985</v>
      </c>
      <c r="D1372" t="s">
        <v>7</v>
      </c>
      <c r="E1372">
        <v>39</v>
      </c>
      <c r="F1372" t="s">
        <v>6</v>
      </c>
      <c r="H1372" t="s">
        <v>62</v>
      </c>
      <c r="I1372">
        <v>2023</v>
      </c>
    </row>
    <row r="1373" spans="1:9" x14ac:dyDescent="0.3">
      <c r="A1373">
        <v>204567111</v>
      </c>
      <c r="B1373" s="1">
        <v>44985</v>
      </c>
      <c r="D1373" t="s">
        <v>7</v>
      </c>
      <c r="E1373">
        <v>39</v>
      </c>
      <c r="F1373" t="s">
        <v>6</v>
      </c>
      <c r="H1373" t="s">
        <v>62</v>
      </c>
      <c r="I1373">
        <v>2023</v>
      </c>
    </row>
    <row r="1374" spans="1:9" x14ac:dyDescent="0.3">
      <c r="A1374">
        <v>205487880</v>
      </c>
      <c r="B1374" s="1">
        <v>44985</v>
      </c>
      <c r="D1374" t="s">
        <v>7</v>
      </c>
      <c r="E1374">
        <v>39</v>
      </c>
      <c r="F1374" t="s">
        <v>6</v>
      </c>
      <c r="H1374" t="s">
        <v>62</v>
      </c>
      <c r="I1374">
        <v>2023</v>
      </c>
    </row>
    <row r="1375" spans="1:9" x14ac:dyDescent="0.3">
      <c r="A1375">
        <v>205489808</v>
      </c>
      <c r="B1375" s="1">
        <v>44985</v>
      </c>
      <c r="D1375" t="s">
        <v>7</v>
      </c>
      <c r="E1375">
        <v>39</v>
      </c>
      <c r="F1375" t="s">
        <v>6</v>
      </c>
      <c r="H1375" t="s">
        <v>62</v>
      </c>
      <c r="I1375">
        <v>2023</v>
      </c>
    </row>
    <row r="1376" spans="1:9" x14ac:dyDescent="0.3">
      <c r="A1376">
        <v>125828506</v>
      </c>
      <c r="B1376" s="1">
        <v>44985</v>
      </c>
      <c r="C1376" s="1">
        <v>44986</v>
      </c>
      <c r="D1376" t="s">
        <v>7</v>
      </c>
      <c r="E1376">
        <v>39</v>
      </c>
      <c r="F1376" t="s">
        <v>6</v>
      </c>
      <c r="G1376" s="19">
        <v>1</v>
      </c>
      <c r="H1376" t="s">
        <v>62</v>
      </c>
      <c r="I1376">
        <v>2023</v>
      </c>
    </row>
    <row r="1377" spans="1:9" x14ac:dyDescent="0.3">
      <c r="A1377">
        <v>154701159</v>
      </c>
      <c r="B1377" s="1">
        <v>44985</v>
      </c>
      <c r="C1377" s="1">
        <v>45012</v>
      </c>
      <c r="D1377" t="s">
        <v>7</v>
      </c>
      <c r="E1377">
        <v>39</v>
      </c>
      <c r="F1377" t="s">
        <v>6</v>
      </c>
      <c r="G1377" s="19">
        <v>27</v>
      </c>
      <c r="H1377" t="s">
        <v>62</v>
      </c>
      <c r="I1377">
        <v>2023</v>
      </c>
    </row>
    <row r="1378" spans="1:9" x14ac:dyDescent="0.3">
      <c r="A1378">
        <v>204865394</v>
      </c>
      <c r="B1378" s="1">
        <v>44985</v>
      </c>
      <c r="C1378" s="1">
        <v>45020</v>
      </c>
      <c r="D1378" t="s">
        <v>7</v>
      </c>
      <c r="E1378">
        <v>39</v>
      </c>
      <c r="F1378" t="s">
        <v>6</v>
      </c>
      <c r="G1378" s="19">
        <v>35</v>
      </c>
      <c r="H1378" t="s">
        <v>62</v>
      </c>
      <c r="I1378">
        <v>2023</v>
      </c>
    </row>
    <row r="1379" spans="1:9" x14ac:dyDescent="0.3">
      <c r="A1379">
        <v>205044276</v>
      </c>
      <c r="B1379" s="1">
        <v>44985</v>
      </c>
      <c r="C1379" s="1">
        <v>45043</v>
      </c>
      <c r="D1379" t="s">
        <v>7</v>
      </c>
      <c r="E1379">
        <v>39</v>
      </c>
      <c r="F1379" t="s">
        <v>6</v>
      </c>
      <c r="G1379" s="19">
        <v>58</v>
      </c>
      <c r="H1379" t="s">
        <v>62</v>
      </c>
      <c r="I1379">
        <v>2023</v>
      </c>
    </row>
    <row r="1380" spans="1:9" x14ac:dyDescent="0.3">
      <c r="A1380">
        <v>194873337</v>
      </c>
      <c r="B1380" s="1">
        <v>44985</v>
      </c>
      <c r="C1380" s="1">
        <v>45034</v>
      </c>
      <c r="D1380" t="s">
        <v>7</v>
      </c>
      <c r="E1380">
        <v>39</v>
      </c>
      <c r="F1380" t="s">
        <v>6</v>
      </c>
      <c r="G1380" s="19">
        <v>49</v>
      </c>
      <c r="H1380" t="s">
        <v>62</v>
      </c>
      <c r="I1380">
        <v>2023</v>
      </c>
    </row>
    <row r="1381" spans="1:9" x14ac:dyDescent="0.3">
      <c r="A1381">
        <v>205492734</v>
      </c>
      <c r="B1381" s="1">
        <v>44985</v>
      </c>
      <c r="C1381" s="1">
        <v>45007</v>
      </c>
      <c r="D1381" t="s">
        <v>7</v>
      </c>
      <c r="E1381">
        <v>39</v>
      </c>
      <c r="F1381" t="s">
        <v>6</v>
      </c>
      <c r="G1381" s="19">
        <v>22</v>
      </c>
      <c r="H1381" t="s">
        <v>62</v>
      </c>
      <c r="I1381">
        <v>2023</v>
      </c>
    </row>
    <row r="1382" spans="1:9" x14ac:dyDescent="0.3">
      <c r="A1382">
        <v>205548739</v>
      </c>
      <c r="B1382" s="1">
        <v>44986</v>
      </c>
      <c r="D1382" t="s">
        <v>7</v>
      </c>
      <c r="E1382">
        <v>39</v>
      </c>
      <c r="F1382" t="s">
        <v>6</v>
      </c>
      <c r="H1382" t="s">
        <v>63</v>
      </c>
      <c r="I1382">
        <v>2023</v>
      </c>
    </row>
    <row r="1383" spans="1:9" x14ac:dyDescent="0.3">
      <c r="A1383">
        <v>202228372</v>
      </c>
      <c r="B1383" s="1">
        <v>44986</v>
      </c>
      <c r="D1383" t="s">
        <v>7</v>
      </c>
      <c r="E1383">
        <v>39</v>
      </c>
      <c r="F1383" t="s">
        <v>6</v>
      </c>
      <c r="H1383" t="s">
        <v>63</v>
      </c>
      <c r="I1383">
        <v>2023</v>
      </c>
    </row>
    <row r="1384" spans="1:9" x14ac:dyDescent="0.3">
      <c r="A1384">
        <v>205034931</v>
      </c>
      <c r="B1384" s="1">
        <v>44986</v>
      </c>
      <c r="C1384" s="1">
        <v>44987</v>
      </c>
      <c r="D1384" t="s">
        <v>8</v>
      </c>
      <c r="E1384">
        <v>39</v>
      </c>
      <c r="F1384" t="s">
        <v>6</v>
      </c>
      <c r="G1384" s="19">
        <v>1</v>
      </c>
      <c r="H1384" t="s">
        <v>63</v>
      </c>
      <c r="I1384">
        <v>2023</v>
      </c>
    </row>
    <row r="1385" spans="1:9" x14ac:dyDescent="0.3">
      <c r="A1385">
        <v>205129178</v>
      </c>
      <c r="B1385" s="1">
        <v>44986</v>
      </c>
      <c r="C1385" s="1">
        <v>45098</v>
      </c>
      <c r="D1385" t="s">
        <v>7</v>
      </c>
      <c r="E1385">
        <v>39</v>
      </c>
      <c r="F1385" t="s">
        <v>6</v>
      </c>
      <c r="G1385" s="19">
        <v>112</v>
      </c>
      <c r="H1385" t="s">
        <v>63</v>
      </c>
      <c r="I1385">
        <v>2023</v>
      </c>
    </row>
    <row r="1386" spans="1:9" x14ac:dyDescent="0.3">
      <c r="A1386">
        <v>160114911</v>
      </c>
      <c r="B1386" s="1">
        <v>44986</v>
      </c>
      <c r="C1386" s="1">
        <v>45024</v>
      </c>
      <c r="D1386" t="s">
        <v>7</v>
      </c>
      <c r="E1386">
        <v>39</v>
      </c>
      <c r="F1386" t="s">
        <v>6</v>
      </c>
      <c r="G1386" s="19">
        <v>38</v>
      </c>
      <c r="H1386" t="s">
        <v>63</v>
      </c>
      <c r="I1386">
        <v>2023</v>
      </c>
    </row>
    <row r="1387" spans="1:9" x14ac:dyDescent="0.3">
      <c r="A1387">
        <v>168200039</v>
      </c>
      <c r="B1387" s="1">
        <v>44986</v>
      </c>
      <c r="C1387" s="1">
        <v>45024</v>
      </c>
      <c r="D1387" t="s">
        <v>7</v>
      </c>
      <c r="E1387">
        <v>39</v>
      </c>
      <c r="F1387" t="s">
        <v>6</v>
      </c>
      <c r="G1387" s="19">
        <v>38</v>
      </c>
      <c r="H1387" t="s">
        <v>63</v>
      </c>
      <c r="I1387">
        <v>2023</v>
      </c>
    </row>
    <row r="1388" spans="1:9" x14ac:dyDescent="0.3">
      <c r="A1388">
        <v>190622411</v>
      </c>
      <c r="B1388" s="1">
        <v>44986</v>
      </c>
      <c r="C1388" s="1">
        <v>45020</v>
      </c>
      <c r="D1388" t="s">
        <v>7</v>
      </c>
      <c r="E1388">
        <v>39</v>
      </c>
      <c r="F1388" t="s">
        <v>6</v>
      </c>
      <c r="G1388" s="19">
        <v>34</v>
      </c>
      <c r="H1388" t="s">
        <v>63</v>
      </c>
      <c r="I1388">
        <v>2023</v>
      </c>
    </row>
    <row r="1389" spans="1:9" x14ac:dyDescent="0.3">
      <c r="A1389">
        <v>204528713</v>
      </c>
      <c r="B1389" s="1">
        <v>44986</v>
      </c>
      <c r="C1389" s="1">
        <v>45034</v>
      </c>
      <c r="D1389" t="s">
        <v>7</v>
      </c>
      <c r="E1389">
        <v>39</v>
      </c>
      <c r="F1389" t="s">
        <v>6</v>
      </c>
      <c r="G1389" s="19">
        <v>48</v>
      </c>
      <c r="H1389" t="s">
        <v>63</v>
      </c>
      <c r="I1389">
        <v>2023</v>
      </c>
    </row>
    <row r="1390" spans="1:9" x14ac:dyDescent="0.3">
      <c r="A1390">
        <v>205573796</v>
      </c>
      <c r="B1390" s="1">
        <v>44986</v>
      </c>
      <c r="C1390" s="1">
        <v>45029</v>
      </c>
      <c r="D1390" t="s">
        <v>7</v>
      </c>
      <c r="E1390">
        <v>39</v>
      </c>
      <c r="F1390" t="s">
        <v>6</v>
      </c>
      <c r="G1390" s="19">
        <v>43</v>
      </c>
      <c r="H1390" t="s">
        <v>63</v>
      </c>
      <c r="I1390">
        <v>2023</v>
      </c>
    </row>
    <row r="1391" spans="1:9" x14ac:dyDescent="0.3">
      <c r="A1391">
        <v>182009986</v>
      </c>
      <c r="B1391" s="1">
        <v>44986</v>
      </c>
      <c r="C1391" s="1">
        <v>45014</v>
      </c>
      <c r="D1391" t="s">
        <v>7</v>
      </c>
      <c r="E1391">
        <v>39</v>
      </c>
      <c r="F1391" t="s">
        <v>6</v>
      </c>
      <c r="G1391" s="19">
        <v>28</v>
      </c>
      <c r="H1391" t="s">
        <v>63</v>
      </c>
      <c r="I1391">
        <v>2023</v>
      </c>
    </row>
    <row r="1392" spans="1:9" x14ac:dyDescent="0.3">
      <c r="A1392">
        <v>205606022</v>
      </c>
      <c r="B1392" s="1">
        <v>44986</v>
      </c>
      <c r="C1392" s="1">
        <v>45006</v>
      </c>
      <c r="D1392" t="s">
        <v>7</v>
      </c>
      <c r="E1392">
        <v>39</v>
      </c>
      <c r="F1392" t="s">
        <v>6</v>
      </c>
      <c r="G1392" s="19">
        <v>20</v>
      </c>
      <c r="H1392" t="s">
        <v>63</v>
      </c>
      <c r="I1392">
        <v>2023</v>
      </c>
    </row>
    <row r="1393" spans="1:9" x14ac:dyDescent="0.3">
      <c r="A1393">
        <v>205580089</v>
      </c>
      <c r="B1393" s="1">
        <v>44986</v>
      </c>
      <c r="C1393" s="1">
        <v>45015</v>
      </c>
      <c r="D1393" t="s">
        <v>7</v>
      </c>
      <c r="E1393">
        <v>39</v>
      </c>
      <c r="F1393" t="s">
        <v>6</v>
      </c>
      <c r="G1393" s="19">
        <v>29</v>
      </c>
      <c r="H1393" t="s">
        <v>63</v>
      </c>
      <c r="I1393">
        <v>2023</v>
      </c>
    </row>
    <row r="1394" spans="1:9" x14ac:dyDescent="0.3">
      <c r="A1394">
        <v>192949504</v>
      </c>
      <c r="B1394" s="1">
        <v>44986</v>
      </c>
      <c r="C1394" s="1">
        <v>45013</v>
      </c>
      <c r="D1394" t="s">
        <v>7</v>
      </c>
      <c r="E1394">
        <v>39</v>
      </c>
      <c r="F1394" t="s">
        <v>6</v>
      </c>
      <c r="G1394" s="19">
        <v>27</v>
      </c>
      <c r="H1394" t="s">
        <v>63</v>
      </c>
      <c r="I1394">
        <v>2023</v>
      </c>
    </row>
    <row r="1395" spans="1:9" x14ac:dyDescent="0.3">
      <c r="A1395">
        <v>205658636</v>
      </c>
      <c r="B1395" s="1">
        <v>44987</v>
      </c>
      <c r="D1395" t="s">
        <v>7</v>
      </c>
      <c r="E1395">
        <v>39</v>
      </c>
      <c r="F1395" t="s">
        <v>6</v>
      </c>
      <c r="H1395" t="s">
        <v>64</v>
      </c>
      <c r="I1395">
        <v>2023</v>
      </c>
    </row>
    <row r="1396" spans="1:9" x14ac:dyDescent="0.3">
      <c r="A1396">
        <v>205615727</v>
      </c>
      <c r="B1396" s="1">
        <v>44987</v>
      </c>
      <c r="C1396" s="1">
        <v>45103</v>
      </c>
      <c r="D1396" t="s">
        <v>7</v>
      </c>
      <c r="E1396">
        <v>39</v>
      </c>
      <c r="F1396" t="s">
        <v>6</v>
      </c>
      <c r="G1396" s="19">
        <v>116</v>
      </c>
      <c r="H1396" t="s">
        <v>64</v>
      </c>
      <c r="I1396">
        <v>2023</v>
      </c>
    </row>
    <row r="1397" spans="1:9" x14ac:dyDescent="0.3">
      <c r="A1397">
        <v>205448424</v>
      </c>
      <c r="B1397" s="1">
        <v>44987</v>
      </c>
      <c r="C1397" s="1">
        <v>45076</v>
      </c>
      <c r="D1397" t="s">
        <v>7</v>
      </c>
      <c r="E1397">
        <v>39</v>
      </c>
      <c r="F1397" t="s">
        <v>6</v>
      </c>
      <c r="G1397" s="19">
        <v>89</v>
      </c>
      <c r="H1397" t="s">
        <v>64</v>
      </c>
      <c r="I1397">
        <v>2023</v>
      </c>
    </row>
    <row r="1398" spans="1:9" x14ac:dyDescent="0.3">
      <c r="A1398">
        <v>196009696</v>
      </c>
      <c r="B1398" s="1">
        <v>44987</v>
      </c>
      <c r="C1398" s="1">
        <v>45048</v>
      </c>
      <c r="D1398" t="s">
        <v>7</v>
      </c>
      <c r="E1398">
        <v>39</v>
      </c>
      <c r="F1398" t="s">
        <v>6</v>
      </c>
      <c r="G1398" s="19">
        <v>61</v>
      </c>
      <c r="H1398" t="s">
        <v>64</v>
      </c>
      <c r="I1398">
        <v>2023</v>
      </c>
    </row>
    <row r="1399" spans="1:9" x14ac:dyDescent="0.3">
      <c r="A1399">
        <v>205026372</v>
      </c>
      <c r="B1399" s="1">
        <v>44987</v>
      </c>
      <c r="C1399" s="1">
        <v>45048</v>
      </c>
      <c r="D1399" t="s">
        <v>7</v>
      </c>
      <c r="E1399">
        <v>39</v>
      </c>
      <c r="F1399" t="s">
        <v>6</v>
      </c>
      <c r="G1399" s="19">
        <v>61</v>
      </c>
      <c r="H1399" t="s">
        <v>64</v>
      </c>
      <c r="I1399">
        <v>2023</v>
      </c>
    </row>
    <row r="1400" spans="1:9" x14ac:dyDescent="0.3">
      <c r="A1400">
        <v>167165752</v>
      </c>
      <c r="B1400" s="1">
        <v>44987</v>
      </c>
      <c r="C1400" s="1">
        <v>45076</v>
      </c>
      <c r="D1400" t="s">
        <v>7</v>
      </c>
      <c r="E1400">
        <v>39</v>
      </c>
      <c r="F1400" t="s">
        <v>6</v>
      </c>
      <c r="G1400" s="19">
        <v>89</v>
      </c>
      <c r="H1400" t="s">
        <v>64</v>
      </c>
      <c r="I1400">
        <v>2023</v>
      </c>
    </row>
    <row r="1401" spans="1:9" x14ac:dyDescent="0.3">
      <c r="A1401">
        <v>205664425</v>
      </c>
      <c r="B1401" s="1">
        <v>44987</v>
      </c>
      <c r="C1401" s="1">
        <v>45041</v>
      </c>
      <c r="D1401" t="s">
        <v>7</v>
      </c>
      <c r="E1401">
        <v>39</v>
      </c>
      <c r="F1401" t="s">
        <v>6</v>
      </c>
      <c r="G1401" s="19">
        <v>54</v>
      </c>
      <c r="H1401" t="s">
        <v>64</v>
      </c>
      <c r="I1401">
        <v>2023</v>
      </c>
    </row>
    <row r="1402" spans="1:9" x14ac:dyDescent="0.3">
      <c r="A1402">
        <v>199179611</v>
      </c>
      <c r="B1402" s="1">
        <v>44987</v>
      </c>
      <c r="C1402" s="1">
        <v>45039</v>
      </c>
      <c r="D1402" t="s">
        <v>7</v>
      </c>
      <c r="E1402">
        <v>39</v>
      </c>
      <c r="F1402" t="s">
        <v>6</v>
      </c>
      <c r="G1402" s="19">
        <v>52</v>
      </c>
      <c r="H1402" t="s">
        <v>64</v>
      </c>
      <c r="I1402">
        <v>2023</v>
      </c>
    </row>
    <row r="1403" spans="1:9" x14ac:dyDescent="0.3">
      <c r="A1403">
        <v>205660933</v>
      </c>
      <c r="B1403" s="1">
        <v>44987</v>
      </c>
      <c r="C1403" s="1">
        <v>45018</v>
      </c>
      <c r="D1403" t="s">
        <v>7</v>
      </c>
      <c r="E1403">
        <v>39</v>
      </c>
      <c r="F1403" t="s">
        <v>6</v>
      </c>
      <c r="G1403" s="19">
        <v>31</v>
      </c>
      <c r="H1403" t="s">
        <v>64</v>
      </c>
      <c r="I1403">
        <v>2023</v>
      </c>
    </row>
    <row r="1404" spans="1:9" x14ac:dyDescent="0.3">
      <c r="A1404">
        <v>205660195</v>
      </c>
      <c r="B1404" s="1">
        <v>44987</v>
      </c>
      <c r="C1404" s="1">
        <v>45019</v>
      </c>
      <c r="D1404" t="s">
        <v>7</v>
      </c>
      <c r="E1404">
        <v>39</v>
      </c>
      <c r="F1404" t="s">
        <v>6</v>
      </c>
      <c r="G1404" s="19">
        <v>32</v>
      </c>
      <c r="H1404" t="s">
        <v>64</v>
      </c>
      <c r="I1404">
        <v>2023</v>
      </c>
    </row>
    <row r="1405" spans="1:9" x14ac:dyDescent="0.3">
      <c r="A1405">
        <v>168598418</v>
      </c>
      <c r="B1405" s="1">
        <v>44987</v>
      </c>
      <c r="C1405" s="1">
        <v>45038</v>
      </c>
      <c r="D1405" t="s">
        <v>7</v>
      </c>
      <c r="E1405">
        <v>39</v>
      </c>
      <c r="F1405" t="s">
        <v>6</v>
      </c>
      <c r="G1405" s="19">
        <v>51</v>
      </c>
      <c r="H1405" t="s">
        <v>64</v>
      </c>
      <c r="I1405">
        <v>2023</v>
      </c>
    </row>
    <row r="1406" spans="1:9" x14ac:dyDescent="0.3">
      <c r="A1406">
        <v>161182367</v>
      </c>
      <c r="B1406" s="1">
        <v>44987</v>
      </c>
      <c r="C1406" s="1">
        <v>45025</v>
      </c>
      <c r="D1406" t="s">
        <v>7</v>
      </c>
      <c r="E1406">
        <v>39</v>
      </c>
      <c r="F1406" t="s">
        <v>6</v>
      </c>
      <c r="G1406" s="19">
        <v>38</v>
      </c>
      <c r="H1406" t="s">
        <v>64</v>
      </c>
      <c r="I1406">
        <v>2023</v>
      </c>
    </row>
    <row r="1407" spans="1:9" x14ac:dyDescent="0.3">
      <c r="A1407">
        <v>156943008</v>
      </c>
      <c r="B1407" s="1">
        <v>44987</v>
      </c>
      <c r="C1407" s="1">
        <v>44987</v>
      </c>
      <c r="D1407" t="s">
        <v>7</v>
      </c>
      <c r="E1407">
        <v>39</v>
      </c>
      <c r="F1407" t="s">
        <v>6</v>
      </c>
      <c r="G1407" s="19">
        <v>0</v>
      </c>
      <c r="H1407" t="s">
        <v>64</v>
      </c>
      <c r="I1407">
        <v>2023</v>
      </c>
    </row>
    <row r="1408" spans="1:9" x14ac:dyDescent="0.3">
      <c r="A1408">
        <v>190657026</v>
      </c>
      <c r="B1408" s="1">
        <v>44987</v>
      </c>
      <c r="C1408" s="1">
        <v>45014</v>
      </c>
      <c r="D1408" t="s">
        <v>7</v>
      </c>
      <c r="E1408">
        <v>39</v>
      </c>
      <c r="F1408" t="s">
        <v>6</v>
      </c>
      <c r="G1408" s="19">
        <v>27</v>
      </c>
      <c r="H1408" t="s">
        <v>64</v>
      </c>
      <c r="I1408">
        <v>2023</v>
      </c>
    </row>
    <row r="1409" spans="1:9" x14ac:dyDescent="0.3">
      <c r="A1409">
        <v>205700946</v>
      </c>
      <c r="B1409" s="1">
        <v>44988</v>
      </c>
      <c r="D1409" t="s">
        <v>7</v>
      </c>
      <c r="E1409">
        <v>39</v>
      </c>
      <c r="F1409" t="s">
        <v>6</v>
      </c>
      <c r="H1409" t="s">
        <v>65</v>
      </c>
      <c r="I1409">
        <v>2023</v>
      </c>
    </row>
    <row r="1410" spans="1:9" x14ac:dyDescent="0.3">
      <c r="A1410">
        <v>165807144</v>
      </c>
      <c r="B1410" s="1">
        <v>44988</v>
      </c>
      <c r="D1410" t="s">
        <v>7</v>
      </c>
      <c r="E1410">
        <v>39</v>
      </c>
      <c r="F1410" t="s">
        <v>6</v>
      </c>
      <c r="H1410" t="s">
        <v>65</v>
      </c>
      <c r="I1410">
        <v>2023</v>
      </c>
    </row>
    <row r="1411" spans="1:9" x14ac:dyDescent="0.3">
      <c r="A1411">
        <v>125635419</v>
      </c>
      <c r="B1411" s="1">
        <v>44988</v>
      </c>
      <c r="C1411" s="1">
        <v>44989</v>
      </c>
      <c r="D1411" t="s">
        <v>7</v>
      </c>
      <c r="E1411">
        <v>39</v>
      </c>
      <c r="F1411" t="s">
        <v>6</v>
      </c>
      <c r="G1411" s="19">
        <v>1</v>
      </c>
      <c r="H1411" t="s">
        <v>65</v>
      </c>
      <c r="I1411">
        <v>2023</v>
      </c>
    </row>
    <row r="1412" spans="1:9" x14ac:dyDescent="0.3">
      <c r="A1412">
        <v>205707486</v>
      </c>
      <c r="B1412" s="1">
        <v>44988</v>
      </c>
      <c r="C1412" s="1">
        <v>44989</v>
      </c>
      <c r="D1412" t="s">
        <v>8</v>
      </c>
      <c r="E1412">
        <v>39</v>
      </c>
      <c r="F1412" t="s">
        <v>6</v>
      </c>
      <c r="G1412" s="19">
        <v>1</v>
      </c>
      <c r="H1412" t="s">
        <v>65</v>
      </c>
      <c r="I1412">
        <v>2023</v>
      </c>
    </row>
    <row r="1413" spans="1:9" x14ac:dyDescent="0.3">
      <c r="A1413">
        <v>150663700</v>
      </c>
      <c r="B1413" s="1">
        <v>44988</v>
      </c>
      <c r="C1413" s="1">
        <v>44989</v>
      </c>
      <c r="D1413" t="s">
        <v>8</v>
      </c>
      <c r="E1413">
        <v>39</v>
      </c>
      <c r="F1413" t="s">
        <v>6</v>
      </c>
      <c r="G1413" s="19">
        <v>1</v>
      </c>
      <c r="H1413" t="s">
        <v>65</v>
      </c>
      <c r="I1413">
        <v>2023</v>
      </c>
    </row>
    <row r="1414" spans="1:9" x14ac:dyDescent="0.3">
      <c r="A1414">
        <v>149157588</v>
      </c>
      <c r="B1414" s="1">
        <v>44988</v>
      </c>
      <c r="C1414" s="1">
        <v>45056</v>
      </c>
      <c r="D1414" t="s">
        <v>7</v>
      </c>
      <c r="E1414">
        <v>39</v>
      </c>
      <c r="F1414" t="s">
        <v>6</v>
      </c>
      <c r="G1414" s="19">
        <v>68</v>
      </c>
      <c r="H1414" t="s">
        <v>65</v>
      </c>
      <c r="I1414">
        <v>2023</v>
      </c>
    </row>
    <row r="1415" spans="1:9" x14ac:dyDescent="0.3">
      <c r="A1415">
        <v>205686881</v>
      </c>
      <c r="B1415" s="1">
        <v>44988</v>
      </c>
      <c r="C1415" s="1">
        <v>45087</v>
      </c>
      <c r="D1415" t="s">
        <v>7</v>
      </c>
      <c r="E1415">
        <v>39</v>
      </c>
      <c r="F1415" t="s">
        <v>6</v>
      </c>
      <c r="G1415" s="19">
        <v>99</v>
      </c>
      <c r="H1415" t="s">
        <v>65</v>
      </c>
      <c r="I1415">
        <v>2023</v>
      </c>
    </row>
    <row r="1416" spans="1:9" x14ac:dyDescent="0.3">
      <c r="A1416">
        <v>138347540</v>
      </c>
      <c r="B1416" s="1">
        <v>44988</v>
      </c>
      <c r="C1416" s="1">
        <v>45054</v>
      </c>
      <c r="D1416" t="s">
        <v>7</v>
      </c>
      <c r="E1416">
        <v>39</v>
      </c>
      <c r="F1416" t="s">
        <v>6</v>
      </c>
      <c r="G1416" s="19">
        <v>66</v>
      </c>
      <c r="H1416" t="s">
        <v>65</v>
      </c>
      <c r="I1416">
        <v>2023</v>
      </c>
    </row>
    <row r="1417" spans="1:9" x14ac:dyDescent="0.3">
      <c r="A1417">
        <v>154344817</v>
      </c>
      <c r="B1417" s="1">
        <v>44988</v>
      </c>
      <c r="C1417" s="1">
        <v>45036</v>
      </c>
      <c r="D1417" t="s">
        <v>7</v>
      </c>
      <c r="E1417">
        <v>39</v>
      </c>
      <c r="F1417" t="s">
        <v>6</v>
      </c>
      <c r="G1417" s="19">
        <v>48</v>
      </c>
      <c r="H1417" t="s">
        <v>65</v>
      </c>
      <c r="I1417">
        <v>2023</v>
      </c>
    </row>
    <row r="1418" spans="1:9" x14ac:dyDescent="0.3">
      <c r="A1418">
        <v>205530810</v>
      </c>
      <c r="B1418" s="1">
        <v>44988</v>
      </c>
      <c r="C1418" s="1">
        <v>45026</v>
      </c>
      <c r="D1418" t="s">
        <v>7</v>
      </c>
      <c r="E1418">
        <v>39</v>
      </c>
      <c r="F1418" t="s">
        <v>6</v>
      </c>
      <c r="G1418" s="19">
        <v>38</v>
      </c>
      <c r="H1418" t="s">
        <v>65</v>
      </c>
      <c r="I1418">
        <v>2023</v>
      </c>
    </row>
    <row r="1419" spans="1:9" x14ac:dyDescent="0.3">
      <c r="A1419">
        <v>205731473</v>
      </c>
      <c r="B1419" s="1">
        <v>44988</v>
      </c>
      <c r="C1419" s="1">
        <v>45004</v>
      </c>
      <c r="D1419" t="s">
        <v>7</v>
      </c>
      <c r="E1419">
        <v>39</v>
      </c>
      <c r="F1419" t="s">
        <v>6</v>
      </c>
      <c r="G1419" s="19">
        <v>16</v>
      </c>
      <c r="H1419" t="s">
        <v>65</v>
      </c>
      <c r="I1419">
        <v>2023</v>
      </c>
    </row>
    <row r="1420" spans="1:9" x14ac:dyDescent="0.3">
      <c r="A1420">
        <v>205692510</v>
      </c>
      <c r="B1420" s="1">
        <v>44989</v>
      </c>
      <c r="D1420" t="s">
        <v>7</v>
      </c>
      <c r="E1420">
        <v>39</v>
      </c>
      <c r="F1420" t="s">
        <v>6</v>
      </c>
      <c r="H1420" t="s">
        <v>66</v>
      </c>
      <c r="I1420">
        <v>2023</v>
      </c>
    </row>
    <row r="1421" spans="1:9" x14ac:dyDescent="0.3">
      <c r="A1421">
        <v>191670525</v>
      </c>
      <c r="B1421" s="1">
        <v>44989</v>
      </c>
      <c r="C1421" s="1">
        <v>45058</v>
      </c>
      <c r="D1421" t="s">
        <v>7</v>
      </c>
      <c r="E1421">
        <v>39</v>
      </c>
      <c r="F1421" t="s">
        <v>6</v>
      </c>
      <c r="G1421" s="19">
        <v>69</v>
      </c>
      <c r="H1421" t="s">
        <v>66</v>
      </c>
      <c r="I1421">
        <v>2023</v>
      </c>
    </row>
    <row r="1422" spans="1:9" x14ac:dyDescent="0.3">
      <c r="A1422">
        <v>205492489</v>
      </c>
      <c r="B1422" s="1">
        <v>44989</v>
      </c>
      <c r="C1422" s="1">
        <v>45057</v>
      </c>
      <c r="D1422" t="s">
        <v>7</v>
      </c>
      <c r="E1422">
        <v>39</v>
      </c>
      <c r="F1422" t="s">
        <v>6</v>
      </c>
      <c r="G1422" s="19">
        <v>68</v>
      </c>
      <c r="H1422" t="s">
        <v>66</v>
      </c>
      <c r="I1422">
        <v>2023</v>
      </c>
    </row>
    <row r="1423" spans="1:9" x14ac:dyDescent="0.3">
      <c r="A1423">
        <v>205026942</v>
      </c>
      <c r="B1423" s="1">
        <v>44989</v>
      </c>
      <c r="C1423" s="1">
        <v>45050</v>
      </c>
      <c r="D1423" t="s">
        <v>7</v>
      </c>
      <c r="E1423">
        <v>39</v>
      </c>
      <c r="F1423" t="s">
        <v>6</v>
      </c>
      <c r="G1423" s="19">
        <v>61</v>
      </c>
      <c r="H1423" t="s">
        <v>66</v>
      </c>
      <c r="I1423">
        <v>2023</v>
      </c>
    </row>
    <row r="1424" spans="1:9" x14ac:dyDescent="0.3">
      <c r="A1424">
        <v>205768824</v>
      </c>
      <c r="B1424" s="1">
        <v>44989</v>
      </c>
      <c r="C1424" s="1">
        <v>45017</v>
      </c>
      <c r="D1424" t="s">
        <v>7</v>
      </c>
      <c r="E1424">
        <v>39</v>
      </c>
      <c r="F1424" t="s">
        <v>6</v>
      </c>
      <c r="G1424" s="19">
        <v>28</v>
      </c>
      <c r="H1424" t="s">
        <v>66</v>
      </c>
      <c r="I1424">
        <v>2023</v>
      </c>
    </row>
    <row r="1425" spans="1:9" x14ac:dyDescent="0.3">
      <c r="A1425">
        <v>160824884</v>
      </c>
      <c r="B1425" s="1">
        <v>44989</v>
      </c>
      <c r="C1425" s="1">
        <v>45018</v>
      </c>
      <c r="D1425" t="s">
        <v>7</v>
      </c>
      <c r="E1425">
        <v>39</v>
      </c>
      <c r="F1425" t="s">
        <v>6</v>
      </c>
      <c r="G1425" s="19">
        <v>29</v>
      </c>
      <c r="H1425" t="s">
        <v>66</v>
      </c>
      <c r="I1425">
        <v>2023</v>
      </c>
    </row>
    <row r="1426" spans="1:9" x14ac:dyDescent="0.3">
      <c r="A1426">
        <v>205742224</v>
      </c>
      <c r="B1426" s="1">
        <v>44989</v>
      </c>
      <c r="C1426" s="1">
        <v>44989</v>
      </c>
      <c r="D1426" t="s">
        <v>7</v>
      </c>
      <c r="E1426">
        <v>39</v>
      </c>
      <c r="F1426" t="s">
        <v>6</v>
      </c>
      <c r="G1426" s="19">
        <v>0</v>
      </c>
      <c r="H1426" t="s">
        <v>66</v>
      </c>
      <c r="I1426">
        <v>2023</v>
      </c>
    </row>
    <row r="1427" spans="1:9" x14ac:dyDescent="0.3">
      <c r="A1427">
        <v>205804144</v>
      </c>
      <c r="B1427" s="1">
        <v>44990</v>
      </c>
      <c r="C1427" s="1">
        <v>45103</v>
      </c>
      <c r="D1427" t="s">
        <v>7</v>
      </c>
      <c r="E1427">
        <v>39</v>
      </c>
      <c r="F1427" t="s">
        <v>6</v>
      </c>
      <c r="G1427" s="19">
        <v>113</v>
      </c>
      <c r="H1427" t="s">
        <v>60</v>
      </c>
      <c r="I1427">
        <v>2023</v>
      </c>
    </row>
    <row r="1428" spans="1:9" x14ac:dyDescent="0.3">
      <c r="A1428">
        <v>205703512</v>
      </c>
      <c r="B1428" s="1">
        <v>44990</v>
      </c>
      <c r="C1428" s="1">
        <v>45075</v>
      </c>
      <c r="D1428" t="s">
        <v>7</v>
      </c>
      <c r="E1428">
        <v>39</v>
      </c>
      <c r="F1428" t="s">
        <v>6</v>
      </c>
      <c r="G1428" s="19">
        <v>85</v>
      </c>
      <c r="H1428" t="s">
        <v>60</v>
      </c>
      <c r="I1428">
        <v>2023</v>
      </c>
    </row>
    <row r="1429" spans="1:9" x14ac:dyDescent="0.3">
      <c r="A1429">
        <v>131181843</v>
      </c>
      <c r="B1429" s="1">
        <v>44990</v>
      </c>
      <c r="C1429" s="1">
        <v>44990</v>
      </c>
      <c r="D1429" t="s">
        <v>7</v>
      </c>
      <c r="E1429">
        <v>39</v>
      </c>
      <c r="F1429" t="s">
        <v>6</v>
      </c>
      <c r="G1429" s="19">
        <v>0</v>
      </c>
      <c r="H1429" t="s">
        <v>60</v>
      </c>
      <c r="I1429">
        <v>2023</v>
      </c>
    </row>
    <row r="1430" spans="1:9" x14ac:dyDescent="0.3">
      <c r="A1430">
        <v>205713052</v>
      </c>
      <c r="B1430" s="1">
        <v>44991</v>
      </c>
      <c r="D1430" t="s">
        <v>7</v>
      </c>
      <c r="E1430">
        <v>39</v>
      </c>
      <c r="F1430" t="s">
        <v>6</v>
      </c>
      <c r="H1430" t="s">
        <v>61</v>
      </c>
      <c r="I1430">
        <v>2023</v>
      </c>
    </row>
    <row r="1431" spans="1:9" x14ac:dyDescent="0.3">
      <c r="A1431">
        <v>138121122</v>
      </c>
      <c r="B1431" s="1">
        <v>44991</v>
      </c>
      <c r="D1431" t="s">
        <v>7</v>
      </c>
      <c r="E1431">
        <v>39</v>
      </c>
      <c r="F1431" t="s">
        <v>6</v>
      </c>
      <c r="H1431" t="s">
        <v>61</v>
      </c>
      <c r="I1431">
        <v>2023</v>
      </c>
    </row>
    <row r="1432" spans="1:9" x14ac:dyDescent="0.3">
      <c r="A1432">
        <v>191326286</v>
      </c>
      <c r="B1432" s="1">
        <v>44991</v>
      </c>
      <c r="D1432" t="s">
        <v>7</v>
      </c>
      <c r="E1432">
        <v>39</v>
      </c>
      <c r="F1432" t="s">
        <v>6</v>
      </c>
      <c r="H1432" t="s">
        <v>61</v>
      </c>
      <c r="I1432">
        <v>2023</v>
      </c>
    </row>
    <row r="1433" spans="1:9" x14ac:dyDescent="0.3">
      <c r="A1433">
        <v>178838732</v>
      </c>
      <c r="B1433" s="1">
        <v>44991</v>
      </c>
      <c r="D1433" t="s">
        <v>7</v>
      </c>
      <c r="E1433">
        <v>39</v>
      </c>
      <c r="F1433" t="s">
        <v>6</v>
      </c>
      <c r="H1433" t="s">
        <v>61</v>
      </c>
      <c r="I1433">
        <v>2023</v>
      </c>
    </row>
    <row r="1434" spans="1:9" x14ac:dyDescent="0.3">
      <c r="A1434">
        <v>205871342</v>
      </c>
      <c r="B1434" s="1">
        <v>44991</v>
      </c>
      <c r="D1434" t="s">
        <v>7</v>
      </c>
      <c r="E1434">
        <v>39</v>
      </c>
      <c r="F1434" t="s">
        <v>6</v>
      </c>
      <c r="H1434" t="s">
        <v>61</v>
      </c>
      <c r="I1434">
        <v>2023</v>
      </c>
    </row>
    <row r="1435" spans="1:9" x14ac:dyDescent="0.3">
      <c r="A1435">
        <v>202160641</v>
      </c>
      <c r="B1435" s="1">
        <v>44991</v>
      </c>
      <c r="C1435" s="1">
        <v>45082</v>
      </c>
      <c r="D1435" t="s">
        <v>7</v>
      </c>
      <c r="E1435">
        <v>39</v>
      </c>
      <c r="F1435" t="s">
        <v>6</v>
      </c>
      <c r="G1435" s="19">
        <v>91</v>
      </c>
      <c r="H1435" t="s">
        <v>61</v>
      </c>
      <c r="I1435">
        <v>2023</v>
      </c>
    </row>
    <row r="1436" spans="1:9" x14ac:dyDescent="0.3">
      <c r="A1436">
        <v>205786362</v>
      </c>
      <c r="B1436" s="1">
        <v>44991</v>
      </c>
      <c r="C1436" s="1">
        <v>45072</v>
      </c>
      <c r="D1436" t="s">
        <v>7</v>
      </c>
      <c r="E1436">
        <v>39</v>
      </c>
      <c r="F1436" t="s">
        <v>6</v>
      </c>
      <c r="G1436" s="19">
        <v>81</v>
      </c>
      <c r="H1436" t="s">
        <v>61</v>
      </c>
      <c r="I1436">
        <v>2023</v>
      </c>
    </row>
    <row r="1437" spans="1:9" x14ac:dyDescent="0.3">
      <c r="A1437">
        <v>159798906</v>
      </c>
      <c r="B1437" s="1">
        <v>44991</v>
      </c>
      <c r="C1437" s="1">
        <v>45023</v>
      </c>
      <c r="D1437" t="s">
        <v>7</v>
      </c>
      <c r="E1437">
        <v>39</v>
      </c>
      <c r="F1437" t="s">
        <v>6</v>
      </c>
      <c r="G1437" s="19">
        <v>32</v>
      </c>
      <c r="H1437" t="s">
        <v>61</v>
      </c>
      <c r="I1437">
        <v>2023</v>
      </c>
    </row>
    <row r="1438" spans="1:9" x14ac:dyDescent="0.3">
      <c r="A1438">
        <v>166276152</v>
      </c>
      <c r="B1438" s="1">
        <v>44991</v>
      </c>
      <c r="C1438" s="1">
        <v>45019</v>
      </c>
      <c r="D1438" t="s">
        <v>7</v>
      </c>
      <c r="E1438">
        <v>39</v>
      </c>
      <c r="F1438" t="s">
        <v>6</v>
      </c>
      <c r="G1438" s="19">
        <v>28</v>
      </c>
      <c r="H1438" t="s">
        <v>61</v>
      </c>
      <c r="I1438">
        <v>2023</v>
      </c>
    </row>
    <row r="1439" spans="1:9" x14ac:dyDescent="0.3">
      <c r="A1439">
        <v>156353738</v>
      </c>
      <c r="B1439" s="1">
        <v>44991</v>
      </c>
      <c r="C1439" s="1">
        <v>44998</v>
      </c>
      <c r="D1439" t="s">
        <v>7</v>
      </c>
      <c r="E1439">
        <v>39</v>
      </c>
      <c r="F1439" t="s">
        <v>6</v>
      </c>
      <c r="G1439" s="19">
        <v>7</v>
      </c>
      <c r="H1439" t="s">
        <v>61</v>
      </c>
      <c r="I1439">
        <v>2023</v>
      </c>
    </row>
    <row r="1440" spans="1:9" x14ac:dyDescent="0.3">
      <c r="A1440">
        <v>205864612</v>
      </c>
      <c r="B1440" s="1">
        <v>44991</v>
      </c>
      <c r="C1440" s="1">
        <v>45003</v>
      </c>
      <c r="D1440" t="s">
        <v>7</v>
      </c>
      <c r="E1440">
        <v>39</v>
      </c>
      <c r="F1440" t="s">
        <v>6</v>
      </c>
      <c r="G1440" s="19">
        <v>12</v>
      </c>
      <c r="H1440" t="s">
        <v>61</v>
      </c>
      <c r="I1440">
        <v>2023</v>
      </c>
    </row>
    <row r="1441" spans="1:9" x14ac:dyDescent="0.3">
      <c r="A1441">
        <v>142757196</v>
      </c>
      <c r="B1441" s="1">
        <v>44992</v>
      </c>
      <c r="C1441" s="1">
        <v>45116</v>
      </c>
      <c r="D1441" t="s">
        <v>7</v>
      </c>
      <c r="E1441">
        <v>39</v>
      </c>
      <c r="F1441" t="s">
        <v>6</v>
      </c>
      <c r="G1441" s="19">
        <v>124</v>
      </c>
      <c r="H1441" t="s">
        <v>62</v>
      </c>
      <c r="I1441">
        <v>2023</v>
      </c>
    </row>
    <row r="1442" spans="1:9" x14ac:dyDescent="0.3">
      <c r="A1442">
        <v>205971108</v>
      </c>
      <c r="B1442" s="1">
        <v>44992</v>
      </c>
      <c r="C1442" s="1">
        <v>45099</v>
      </c>
      <c r="D1442" t="s">
        <v>7</v>
      </c>
      <c r="E1442">
        <v>39</v>
      </c>
      <c r="F1442" t="s">
        <v>6</v>
      </c>
      <c r="G1442" s="19">
        <v>107</v>
      </c>
      <c r="H1442" t="s">
        <v>62</v>
      </c>
      <c r="I1442">
        <v>2023</v>
      </c>
    </row>
    <row r="1443" spans="1:9" x14ac:dyDescent="0.3">
      <c r="A1443">
        <v>206001231</v>
      </c>
      <c r="B1443" s="1">
        <v>44992</v>
      </c>
      <c r="C1443" s="1">
        <v>45077</v>
      </c>
      <c r="D1443" t="s">
        <v>7</v>
      </c>
      <c r="E1443">
        <v>39</v>
      </c>
      <c r="F1443" t="s">
        <v>6</v>
      </c>
      <c r="G1443" s="19">
        <v>85</v>
      </c>
      <c r="H1443" t="s">
        <v>62</v>
      </c>
      <c r="I1443">
        <v>2023</v>
      </c>
    </row>
    <row r="1444" spans="1:9" x14ac:dyDescent="0.3">
      <c r="A1444">
        <v>205878686</v>
      </c>
      <c r="B1444" s="1">
        <v>44992</v>
      </c>
      <c r="C1444" s="1">
        <v>44992</v>
      </c>
      <c r="D1444" t="s">
        <v>7</v>
      </c>
      <c r="E1444">
        <v>39</v>
      </c>
      <c r="F1444" t="s">
        <v>6</v>
      </c>
      <c r="G1444" s="19">
        <v>0</v>
      </c>
      <c r="H1444" t="s">
        <v>62</v>
      </c>
      <c r="I1444">
        <v>2023</v>
      </c>
    </row>
    <row r="1445" spans="1:9" x14ac:dyDescent="0.3">
      <c r="A1445">
        <v>206052140</v>
      </c>
      <c r="B1445" s="1">
        <v>44993</v>
      </c>
      <c r="D1445" t="s">
        <v>7</v>
      </c>
      <c r="E1445">
        <v>39</v>
      </c>
      <c r="F1445" t="s">
        <v>6</v>
      </c>
      <c r="H1445" t="s">
        <v>63</v>
      </c>
      <c r="I1445">
        <v>2023</v>
      </c>
    </row>
    <row r="1446" spans="1:9" x14ac:dyDescent="0.3">
      <c r="A1446">
        <v>154082747</v>
      </c>
      <c r="B1446" s="1">
        <v>44993</v>
      </c>
      <c r="C1446" s="1">
        <v>44994</v>
      </c>
      <c r="D1446" t="s">
        <v>7</v>
      </c>
      <c r="E1446">
        <v>39</v>
      </c>
      <c r="F1446" t="s">
        <v>6</v>
      </c>
      <c r="G1446" s="19">
        <v>1</v>
      </c>
      <c r="H1446" t="s">
        <v>63</v>
      </c>
      <c r="I1446">
        <v>2023</v>
      </c>
    </row>
    <row r="1447" spans="1:9" x14ac:dyDescent="0.3">
      <c r="A1447">
        <v>206017161</v>
      </c>
      <c r="B1447" s="1">
        <v>44993</v>
      </c>
      <c r="C1447" s="1">
        <v>44994</v>
      </c>
      <c r="D1447" t="s">
        <v>8</v>
      </c>
      <c r="E1447">
        <v>39</v>
      </c>
      <c r="F1447" t="s">
        <v>6</v>
      </c>
      <c r="G1447" s="19">
        <v>1</v>
      </c>
      <c r="H1447" t="s">
        <v>63</v>
      </c>
      <c r="I1447">
        <v>2023</v>
      </c>
    </row>
    <row r="1448" spans="1:9" x14ac:dyDescent="0.3">
      <c r="A1448">
        <v>203152686</v>
      </c>
      <c r="B1448" s="1">
        <v>44993</v>
      </c>
      <c r="C1448" s="1">
        <v>45067</v>
      </c>
      <c r="D1448" t="s">
        <v>7</v>
      </c>
      <c r="E1448">
        <v>39</v>
      </c>
      <c r="F1448" t="s">
        <v>6</v>
      </c>
      <c r="G1448" s="19">
        <v>74</v>
      </c>
      <c r="H1448" t="s">
        <v>63</v>
      </c>
      <c r="I1448">
        <v>2023</v>
      </c>
    </row>
    <row r="1449" spans="1:9" x14ac:dyDescent="0.3">
      <c r="A1449">
        <v>203320717</v>
      </c>
      <c r="B1449" s="1">
        <v>44993</v>
      </c>
      <c r="C1449" s="1">
        <v>45023</v>
      </c>
      <c r="D1449" t="s">
        <v>7</v>
      </c>
      <c r="E1449">
        <v>39</v>
      </c>
      <c r="F1449" t="s">
        <v>6</v>
      </c>
      <c r="G1449" s="19">
        <v>30</v>
      </c>
      <c r="H1449" t="s">
        <v>63</v>
      </c>
      <c r="I1449">
        <v>2023</v>
      </c>
    </row>
    <row r="1450" spans="1:9" x14ac:dyDescent="0.3">
      <c r="A1450">
        <v>206076518</v>
      </c>
      <c r="B1450" s="1">
        <v>44994</v>
      </c>
      <c r="D1450" t="s">
        <v>7</v>
      </c>
      <c r="E1450">
        <v>39</v>
      </c>
      <c r="F1450" t="s">
        <v>6</v>
      </c>
      <c r="H1450" t="s">
        <v>64</v>
      </c>
      <c r="I1450">
        <v>2023</v>
      </c>
    </row>
    <row r="1451" spans="1:9" x14ac:dyDescent="0.3">
      <c r="A1451">
        <v>205881578</v>
      </c>
      <c r="B1451" s="1">
        <v>44994</v>
      </c>
      <c r="C1451" s="1">
        <v>45165</v>
      </c>
      <c r="D1451" t="s">
        <v>7</v>
      </c>
      <c r="E1451">
        <v>39</v>
      </c>
      <c r="F1451" t="s">
        <v>6</v>
      </c>
      <c r="G1451" s="19">
        <v>171</v>
      </c>
      <c r="H1451" t="s">
        <v>64</v>
      </c>
      <c r="I1451">
        <v>2023</v>
      </c>
    </row>
    <row r="1452" spans="1:9" x14ac:dyDescent="0.3">
      <c r="A1452">
        <v>152513944</v>
      </c>
      <c r="B1452" s="1">
        <v>44994</v>
      </c>
      <c r="C1452" s="1">
        <v>44995</v>
      </c>
      <c r="D1452" t="s">
        <v>7</v>
      </c>
      <c r="E1452">
        <v>39</v>
      </c>
      <c r="F1452" t="s">
        <v>6</v>
      </c>
      <c r="G1452" s="19">
        <v>1</v>
      </c>
      <c r="H1452" t="s">
        <v>64</v>
      </c>
      <c r="I1452">
        <v>2023</v>
      </c>
    </row>
    <row r="1453" spans="1:9" x14ac:dyDescent="0.3">
      <c r="A1453">
        <v>132371176</v>
      </c>
      <c r="B1453" s="1">
        <v>44994</v>
      </c>
      <c r="C1453" s="1">
        <v>44995</v>
      </c>
      <c r="D1453" t="s">
        <v>8</v>
      </c>
      <c r="E1453">
        <v>39</v>
      </c>
      <c r="F1453" t="s">
        <v>6</v>
      </c>
      <c r="G1453" s="19">
        <v>1</v>
      </c>
      <c r="H1453" t="s">
        <v>64</v>
      </c>
      <c r="I1453">
        <v>2023</v>
      </c>
    </row>
    <row r="1454" spans="1:9" x14ac:dyDescent="0.3">
      <c r="A1454">
        <v>135092264</v>
      </c>
      <c r="B1454" s="1">
        <v>44994</v>
      </c>
      <c r="C1454" s="1">
        <v>45118</v>
      </c>
      <c r="D1454" t="s">
        <v>7</v>
      </c>
      <c r="E1454">
        <v>39</v>
      </c>
      <c r="F1454" t="s">
        <v>6</v>
      </c>
      <c r="G1454" s="19">
        <v>124</v>
      </c>
      <c r="H1454" t="s">
        <v>64</v>
      </c>
      <c r="I1454">
        <v>2023</v>
      </c>
    </row>
    <row r="1455" spans="1:9" x14ac:dyDescent="0.3">
      <c r="A1455">
        <v>151297084</v>
      </c>
      <c r="B1455" s="1">
        <v>44994</v>
      </c>
      <c r="C1455" s="1">
        <v>45071</v>
      </c>
      <c r="D1455" t="s">
        <v>7</v>
      </c>
      <c r="E1455">
        <v>39</v>
      </c>
      <c r="F1455" t="s">
        <v>6</v>
      </c>
      <c r="G1455" s="19">
        <v>77</v>
      </c>
      <c r="H1455" t="s">
        <v>64</v>
      </c>
      <c r="I1455">
        <v>2023</v>
      </c>
    </row>
    <row r="1456" spans="1:9" x14ac:dyDescent="0.3">
      <c r="A1456">
        <v>167010855</v>
      </c>
      <c r="B1456" s="1">
        <v>44994</v>
      </c>
      <c r="C1456" s="1">
        <v>45085</v>
      </c>
      <c r="D1456" t="s">
        <v>7</v>
      </c>
      <c r="E1456">
        <v>39</v>
      </c>
      <c r="F1456" t="s">
        <v>6</v>
      </c>
      <c r="G1456" s="19">
        <v>91</v>
      </c>
      <c r="H1456" t="s">
        <v>64</v>
      </c>
      <c r="I1456">
        <v>2023</v>
      </c>
    </row>
    <row r="1457" spans="1:9" x14ac:dyDescent="0.3">
      <c r="A1457">
        <v>206122788</v>
      </c>
      <c r="B1457" s="1">
        <v>44994</v>
      </c>
      <c r="C1457" s="1">
        <v>45093</v>
      </c>
      <c r="D1457" t="s">
        <v>7</v>
      </c>
      <c r="E1457">
        <v>39</v>
      </c>
      <c r="F1457" t="s">
        <v>6</v>
      </c>
      <c r="G1457" s="19">
        <v>99</v>
      </c>
      <c r="H1457" t="s">
        <v>64</v>
      </c>
      <c r="I1457">
        <v>2023</v>
      </c>
    </row>
    <row r="1458" spans="1:9" x14ac:dyDescent="0.3">
      <c r="A1458">
        <v>158439764</v>
      </c>
      <c r="B1458" s="1">
        <v>44994</v>
      </c>
      <c r="C1458" s="1">
        <v>45047</v>
      </c>
      <c r="D1458" t="s">
        <v>7</v>
      </c>
      <c r="E1458">
        <v>39</v>
      </c>
      <c r="F1458" t="s">
        <v>6</v>
      </c>
      <c r="G1458" s="19">
        <v>53</v>
      </c>
      <c r="H1458" t="s">
        <v>64</v>
      </c>
      <c r="I1458">
        <v>2023</v>
      </c>
    </row>
    <row r="1459" spans="1:9" x14ac:dyDescent="0.3">
      <c r="A1459">
        <v>136723151</v>
      </c>
      <c r="B1459" s="1">
        <v>44994</v>
      </c>
      <c r="C1459" s="1">
        <v>45023</v>
      </c>
      <c r="D1459" t="s">
        <v>7</v>
      </c>
      <c r="E1459">
        <v>39</v>
      </c>
      <c r="F1459" t="s">
        <v>6</v>
      </c>
      <c r="G1459" s="19">
        <v>29</v>
      </c>
      <c r="H1459" t="s">
        <v>64</v>
      </c>
      <c r="I1459">
        <v>2023</v>
      </c>
    </row>
    <row r="1460" spans="1:9" x14ac:dyDescent="0.3">
      <c r="A1460">
        <v>205875358</v>
      </c>
      <c r="B1460" s="1">
        <v>44994</v>
      </c>
      <c r="C1460" s="1">
        <v>45038</v>
      </c>
      <c r="D1460" t="s">
        <v>7</v>
      </c>
      <c r="E1460">
        <v>39</v>
      </c>
      <c r="F1460" t="s">
        <v>6</v>
      </c>
      <c r="G1460" s="19">
        <v>44</v>
      </c>
      <c r="H1460" t="s">
        <v>64</v>
      </c>
      <c r="I1460">
        <v>2023</v>
      </c>
    </row>
    <row r="1461" spans="1:9" x14ac:dyDescent="0.3">
      <c r="A1461">
        <v>206082900</v>
      </c>
      <c r="B1461" s="1">
        <v>44994</v>
      </c>
      <c r="C1461" s="1">
        <v>45139</v>
      </c>
      <c r="D1461" t="s">
        <v>7</v>
      </c>
      <c r="E1461">
        <v>39</v>
      </c>
      <c r="F1461" t="s">
        <v>6</v>
      </c>
      <c r="G1461" s="19">
        <v>145</v>
      </c>
      <c r="H1461" t="s">
        <v>64</v>
      </c>
      <c r="I1461">
        <v>2023</v>
      </c>
    </row>
    <row r="1462" spans="1:9" x14ac:dyDescent="0.3">
      <c r="A1462">
        <v>206139451</v>
      </c>
      <c r="B1462" s="1">
        <v>44995</v>
      </c>
      <c r="D1462" t="s">
        <v>7</v>
      </c>
      <c r="E1462">
        <v>39</v>
      </c>
      <c r="F1462" t="s">
        <v>6</v>
      </c>
      <c r="H1462" t="s">
        <v>65</v>
      </c>
      <c r="I1462">
        <v>2023</v>
      </c>
    </row>
    <row r="1463" spans="1:9" x14ac:dyDescent="0.3">
      <c r="A1463">
        <v>206196328</v>
      </c>
      <c r="B1463" s="1">
        <v>44995</v>
      </c>
      <c r="D1463" t="s">
        <v>7</v>
      </c>
      <c r="E1463">
        <v>39</v>
      </c>
      <c r="F1463" t="s">
        <v>6</v>
      </c>
      <c r="H1463" t="s">
        <v>65</v>
      </c>
      <c r="I1463">
        <v>2023</v>
      </c>
    </row>
    <row r="1464" spans="1:9" x14ac:dyDescent="0.3">
      <c r="A1464">
        <v>201122030</v>
      </c>
      <c r="B1464" s="1">
        <v>44995</v>
      </c>
      <c r="C1464" s="1">
        <v>45082</v>
      </c>
      <c r="D1464" t="s">
        <v>7</v>
      </c>
      <c r="E1464">
        <v>39</v>
      </c>
      <c r="F1464" t="s">
        <v>6</v>
      </c>
      <c r="G1464" s="19">
        <v>87</v>
      </c>
      <c r="H1464" t="s">
        <v>65</v>
      </c>
      <c r="I1464">
        <v>2023</v>
      </c>
    </row>
    <row r="1465" spans="1:9" x14ac:dyDescent="0.3">
      <c r="A1465">
        <v>156218152</v>
      </c>
      <c r="B1465" s="1">
        <v>44995</v>
      </c>
      <c r="C1465" s="1">
        <v>45086</v>
      </c>
      <c r="D1465" t="s">
        <v>7</v>
      </c>
      <c r="E1465">
        <v>39</v>
      </c>
      <c r="F1465" t="s">
        <v>6</v>
      </c>
      <c r="G1465" s="19">
        <v>91</v>
      </c>
      <c r="H1465" t="s">
        <v>65</v>
      </c>
      <c r="I1465">
        <v>2023</v>
      </c>
    </row>
    <row r="1466" spans="1:9" x14ac:dyDescent="0.3">
      <c r="A1466">
        <v>162718092</v>
      </c>
      <c r="B1466" s="1">
        <v>44995</v>
      </c>
      <c r="C1466" s="1">
        <v>45056</v>
      </c>
      <c r="D1466" t="s">
        <v>7</v>
      </c>
      <c r="E1466">
        <v>39</v>
      </c>
      <c r="F1466" t="s">
        <v>6</v>
      </c>
      <c r="G1466" s="19">
        <v>61</v>
      </c>
      <c r="H1466" t="s">
        <v>65</v>
      </c>
      <c r="I1466">
        <v>2023</v>
      </c>
    </row>
    <row r="1467" spans="1:9" x14ac:dyDescent="0.3">
      <c r="A1467">
        <v>174606946</v>
      </c>
      <c r="B1467" s="1">
        <v>44995</v>
      </c>
      <c r="C1467" s="1">
        <v>45055</v>
      </c>
      <c r="D1467" t="s">
        <v>7</v>
      </c>
      <c r="E1467">
        <v>39</v>
      </c>
      <c r="F1467" t="s">
        <v>6</v>
      </c>
      <c r="G1467" s="19">
        <v>60</v>
      </c>
      <c r="H1467" t="s">
        <v>65</v>
      </c>
      <c r="I1467">
        <v>2023</v>
      </c>
    </row>
    <row r="1468" spans="1:9" x14ac:dyDescent="0.3">
      <c r="A1468">
        <v>206159331</v>
      </c>
      <c r="B1468" s="1">
        <v>44995</v>
      </c>
      <c r="C1468" s="1">
        <v>45010</v>
      </c>
      <c r="D1468" t="s">
        <v>7</v>
      </c>
      <c r="E1468">
        <v>39</v>
      </c>
      <c r="F1468" t="s">
        <v>6</v>
      </c>
      <c r="G1468" s="19">
        <v>15</v>
      </c>
      <c r="H1468" t="s">
        <v>65</v>
      </c>
      <c r="I1468">
        <v>2023</v>
      </c>
    </row>
    <row r="1469" spans="1:9" x14ac:dyDescent="0.3">
      <c r="A1469">
        <v>206272716</v>
      </c>
      <c r="B1469" s="1">
        <v>44996</v>
      </c>
      <c r="D1469" t="s">
        <v>7</v>
      </c>
      <c r="E1469">
        <v>39</v>
      </c>
      <c r="F1469" t="s">
        <v>6</v>
      </c>
      <c r="H1469" t="s">
        <v>66</v>
      </c>
      <c r="I1469">
        <v>2023</v>
      </c>
    </row>
    <row r="1470" spans="1:9" x14ac:dyDescent="0.3">
      <c r="A1470">
        <v>138104184</v>
      </c>
      <c r="B1470" s="1">
        <v>44996</v>
      </c>
      <c r="C1470" s="1">
        <v>45176</v>
      </c>
      <c r="D1470" t="s">
        <v>7</v>
      </c>
      <c r="E1470">
        <v>39</v>
      </c>
      <c r="F1470" t="s">
        <v>6</v>
      </c>
      <c r="G1470" s="19">
        <v>180</v>
      </c>
      <c r="H1470" t="s">
        <v>66</v>
      </c>
      <c r="I1470">
        <v>2023</v>
      </c>
    </row>
    <row r="1471" spans="1:9" x14ac:dyDescent="0.3">
      <c r="A1471">
        <v>168264884</v>
      </c>
      <c r="B1471" s="1">
        <v>44996</v>
      </c>
      <c r="C1471" s="1">
        <v>45056</v>
      </c>
      <c r="D1471" t="s">
        <v>7</v>
      </c>
      <c r="E1471">
        <v>39</v>
      </c>
      <c r="F1471" t="s">
        <v>6</v>
      </c>
      <c r="G1471" s="19">
        <v>60</v>
      </c>
      <c r="H1471" t="s">
        <v>66</v>
      </c>
      <c r="I1471">
        <v>2023</v>
      </c>
    </row>
    <row r="1472" spans="1:9" x14ac:dyDescent="0.3">
      <c r="A1472">
        <v>153200640</v>
      </c>
      <c r="B1472" s="1">
        <v>44996</v>
      </c>
      <c r="C1472" s="1">
        <v>45028</v>
      </c>
      <c r="D1472" t="s">
        <v>7</v>
      </c>
      <c r="E1472">
        <v>39</v>
      </c>
      <c r="F1472" t="s">
        <v>6</v>
      </c>
      <c r="G1472" s="19">
        <v>32</v>
      </c>
      <c r="H1472" t="s">
        <v>66</v>
      </c>
      <c r="I1472">
        <v>2023</v>
      </c>
    </row>
    <row r="1473" spans="1:9" x14ac:dyDescent="0.3">
      <c r="A1473">
        <v>206251362</v>
      </c>
      <c r="B1473" s="1">
        <v>44996</v>
      </c>
      <c r="C1473" s="1">
        <v>45034</v>
      </c>
      <c r="D1473" t="s">
        <v>7</v>
      </c>
      <c r="E1473">
        <v>39</v>
      </c>
      <c r="F1473" t="s">
        <v>6</v>
      </c>
      <c r="G1473" s="19">
        <v>38</v>
      </c>
      <c r="H1473" t="s">
        <v>66</v>
      </c>
      <c r="I1473">
        <v>2023</v>
      </c>
    </row>
    <row r="1474" spans="1:9" x14ac:dyDescent="0.3">
      <c r="A1474">
        <v>192386902</v>
      </c>
      <c r="B1474" s="1">
        <v>44996</v>
      </c>
      <c r="C1474" s="1">
        <v>45034</v>
      </c>
      <c r="D1474" t="s">
        <v>7</v>
      </c>
      <c r="E1474">
        <v>39</v>
      </c>
      <c r="F1474" t="s">
        <v>6</v>
      </c>
      <c r="G1474" s="19">
        <v>38</v>
      </c>
      <c r="H1474" t="s">
        <v>66</v>
      </c>
      <c r="I1474">
        <v>2023</v>
      </c>
    </row>
    <row r="1475" spans="1:9" x14ac:dyDescent="0.3">
      <c r="A1475">
        <v>205851263</v>
      </c>
      <c r="B1475" s="1">
        <v>44996</v>
      </c>
      <c r="C1475" s="1">
        <v>44999</v>
      </c>
      <c r="D1475" t="s">
        <v>7</v>
      </c>
      <c r="E1475">
        <v>39</v>
      </c>
      <c r="F1475" t="s">
        <v>6</v>
      </c>
      <c r="G1475" s="19">
        <v>3</v>
      </c>
      <c r="H1475" t="s">
        <v>66</v>
      </c>
      <c r="I1475">
        <v>2023</v>
      </c>
    </row>
    <row r="1476" spans="1:9" x14ac:dyDescent="0.3">
      <c r="A1476">
        <v>197873706</v>
      </c>
      <c r="B1476" s="1">
        <v>44997</v>
      </c>
      <c r="C1476" s="1">
        <v>45150</v>
      </c>
      <c r="D1476" t="s">
        <v>7</v>
      </c>
      <c r="E1476">
        <v>39</v>
      </c>
      <c r="F1476" t="s">
        <v>6</v>
      </c>
      <c r="G1476" s="19">
        <v>153</v>
      </c>
      <c r="H1476" t="s">
        <v>60</v>
      </c>
      <c r="I1476">
        <v>2023</v>
      </c>
    </row>
    <row r="1477" spans="1:9" x14ac:dyDescent="0.3">
      <c r="A1477">
        <v>206284048</v>
      </c>
      <c r="B1477" s="1">
        <v>44997</v>
      </c>
      <c r="C1477" s="1">
        <v>45003</v>
      </c>
      <c r="D1477" t="s">
        <v>7</v>
      </c>
      <c r="E1477">
        <v>39</v>
      </c>
      <c r="F1477" t="s">
        <v>6</v>
      </c>
      <c r="G1477" s="19">
        <v>6</v>
      </c>
      <c r="H1477" t="s">
        <v>60</v>
      </c>
      <c r="I1477">
        <v>2023</v>
      </c>
    </row>
    <row r="1478" spans="1:9" x14ac:dyDescent="0.3">
      <c r="A1478">
        <v>149761545</v>
      </c>
      <c r="B1478" s="1">
        <v>44997</v>
      </c>
      <c r="C1478" s="1">
        <v>45131</v>
      </c>
      <c r="D1478" t="s">
        <v>7</v>
      </c>
      <c r="E1478">
        <v>39</v>
      </c>
      <c r="F1478" t="s">
        <v>6</v>
      </c>
      <c r="G1478" s="19">
        <v>134</v>
      </c>
      <c r="H1478" t="s">
        <v>60</v>
      </c>
      <c r="I1478">
        <v>2023</v>
      </c>
    </row>
    <row r="1479" spans="1:9" x14ac:dyDescent="0.3">
      <c r="A1479">
        <v>155010717</v>
      </c>
      <c r="B1479" s="1">
        <v>44998</v>
      </c>
      <c r="C1479" s="1">
        <v>45077</v>
      </c>
      <c r="D1479" t="s">
        <v>7</v>
      </c>
      <c r="E1479">
        <v>39</v>
      </c>
      <c r="F1479" t="s">
        <v>6</v>
      </c>
      <c r="G1479" s="19">
        <v>79</v>
      </c>
      <c r="H1479" t="s">
        <v>61</v>
      </c>
      <c r="I1479">
        <v>2023</v>
      </c>
    </row>
    <row r="1480" spans="1:9" x14ac:dyDescent="0.3">
      <c r="A1480">
        <v>151407531</v>
      </c>
      <c r="B1480" s="1">
        <v>44998</v>
      </c>
      <c r="C1480" s="1">
        <v>45028</v>
      </c>
      <c r="D1480" t="s">
        <v>7</v>
      </c>
      <c r="E1480">
        <v>39</v>
      </c>
      <c r="F1480" t="s">
        <v>6</v>
      </c>
      <c r="G1480" s="19">
        <v>30</v>
      </c>
      <c r="H1480" t="s">
        <v>61</v>
      </c>
      <c r="I1480">
        <v>2023</v>
      </c>
    </row>
    <row r="1481" spans="1:9" x14ac:dyDescent="0.3">
      <c r="A1481">
        <v>206407796</v>
      </c>
      <c r="B1481" s="1">
        <v>44998</v>
      </c>
      <c r="C1481" s="1">
        <v>45058</v>
      </c>
      <c r="D1481" t="s">
        <v>7</v>
      </c>
      <c r="E1481">
        <v>39</v>
      </c>
      <c r="F1481" t="s">
        <v>6</v>
      </c>
      <c r="G1481" s="19">
        <v>60</v>
      </c>
      <c r="H1481" t="s">
        <v>61</v>
      </c>
      <c r="I1481">
        <v>2023</v>
      </c>
    </row>
    <row r="1482" spans="1:9" x14ac:dyDescent="0.3">
      <c r="A1482">
        <v>206247835</v>
      </c>
      <c r="B1482" s="1">
        <v>44998</v>
      </c>
      <c r="C1482" s="1">
        <v>45071</v>
      </c>
      <c r="D1482" t="s">
        <v>7</v>
      </c>
      <c r="E1482">
        <v>39</v>
      </c>
      <c r="F1482" t="s">
        <v>6</v>
      </c>
      <c r="G1482" s="19">
        <v>73</v>
      </c>
      <c r="H1482" t="s">
        <v>61</v>
      </c>
      <c r="I1482">
        <v>2023</v>
      </c>
    </row>
    <row r="1483" spans="1:9" x14ac:dyDescent="0.3">
      <c r="A1483">
        <v>206382927</v>
      </c>
      <c r="B1483" s="1">
        <v>44998</v>
      </c>
      <c r="C1483" s="1">
        <v>45070</v>
      </c>
      <c r="D1483" t="s">
        <v>7</v>
      </c>
      <c r="E1483">
        <v>39</v>
      </c>
      <c r="F1483" t="s">
        <v>6</v>
      </c>
      <c r="G1483" s="19">
        <v>72</v>
      </c>
      <c r="H1483" t="s">
        <v>61</v>
      </c>
      <c r="I1483">
        <v>2023</v>
      </c>
    </row>
    <row r="1484" spans="1:9" x14ac:dyDescent="0.3">
      <c r="A1484">
        <v>206147500</v>
      </c>
      <c r="B1484" s="1">
        <v>44998</v>
      </c>
      <c r="C1484" s="1">
        <v>45064</v>
      </c>
      <c r="D1484" t="s">
        <v>7</v>
      </c>
      <c r="E1484">
        <v>39</v>
      </c>
      <c r="F1484" t="s">
        <v>6</v>
      </c>
      <c r="G1484" s="19">
        <v>66</v>
      </c>
      <c r="H1484" t="s">
        <v>61</v>
      </c>
      <c r="I1484">
        <v>2023</v>
      </c>
    </row>
    <row r="1485" spans="1:9" x14ac:dyDescent="0.3">
      <c r="A1485">
        <v>206330714</v>
      </c>
      <c r="B1485" s="1">
        <v>44998</v>
      </c>
      <c r="C1485" s="1">
        <v>45023</v>
      </c>
      <c r="D1485" t="s">
        <v>7</v>
      </c>
      <c r="E1485">
        <v>39</v>
      </c>
      <c r="F1485" t="s">
        <v>6</v>
      </c>
      <c r="G1485" s="19">
        <v>25</v>
      </c>
      <c r="H1485" t="s">
        <v>61</v>
      </c>
      <c r="I1485">
        <v>2023</v>
      </c>
    </row>
    <row r="1486" spans="1:9" x14ac:dyDescent="0.3">
      <c r="A1486">
        <v>206121650</v>
      </c>
      <c r="B1486" s="1">
        <v>44998</v>
      </c>
      <c r="C1486" s="1">
        <v>45025</v>
      </c>
      <c r="D1486" t="s">
        <v>7</v>
      </c>
      <c r="E1486">
        <v>39</v>
      </c>
      <c r="F1486" t="s">
        <v>6</v>
      </c>
      <c r="G1486" s="19">
        <v>27</v>
      </c>
      <c r="H1486" t="s">
        <v>61</v>
      </c>
      <c r="I1486">
        <v>2023</v>
      </c>
    </row>
    <row r="1487" spans="1:9" x14ac:dyDescent="0.3">
      <c r="A1487">
        <v>182504578</v>
      </c>
      <c r="B1487" s="1">
        <v>44998</v>
      </c>
      <c r="C1487" s="1">
        <v>45036</v>
      </c>
      <c r="D1487" t="s">
        <v>7</v>
      </c>
      <c r="E1487">
        <v>39</v>
      </c>
      <c r="F1487" t="s">
        <v>6</v>
      </c>
      <c r="G1487" s="19">
        <v>38</v>
      </c>
      <c r="H1487" t="s">
        <v>61</v>
      </c>
      <c r="I1487">
        <v>2023</v>
      </c>
    </row>
    <row r="1488" spans="1:9" x14ac:dyDescent="0.3">
      <c r="A1488">
        <v>204362311</v>
      </c>
      <c r="B1488" s="1">
        <v>44998</v>
      </c>
      <c r="C1488" s="1">
        <v>45091</v>
      </c>
      <c r="D1488" t="s">
        <v>7</v>
      </c>
      <c r="E1488">
        <v>39</v>
      </c>
      <c r="F1488" t="s">
        <v>6</v>
      </c>
      <c r="G1488" s="19">
        <v>93</v>
      </c>
      <c r="H1488" t="s">
        <v>61</v>
      </c>
      <c r="I1488">
        <v>2023</v>
      </c>
    </row>
    <row r="1489" spans="1:9" x14ac:dyDescent="0.3">
      <c r="A1489">
        <v>206504573</v>
      </c>
      <c r="B1489" s="1">
        <v>44999</v>
      </c>
      <c r="D1489" t="s">
        <v>7</v>
      </c>
      <c r="E1489">
        <v>39</v>
      </c>
      <c r="F1489" t="s">
        <v>6</v>
      </c>
      <c r="H1489" t="s">
        <v>62</v>
      </c>
      <c r="I1489">
        <v>2023</v>
      </c>
    </row>
    <row r="1490" spans="1:9" x14ac:dyDescent="0.3">
      <c r="A1490">
        <v>206490851</v>
      </c>
      <c r="B1490" s="1">
        <v>44999</v>
      </c>
      <c r="D1490" t="s">
        <v>7</v>
      </c>
      <c r="E1490">
        <v>39</v>
      </c>
      <c r="F1490" t="s">
        <v>6</v>
      </c>
      <c r="H1490" t="s">
        <v>62</v>
      </c>
      <c r="I1490">
        <v>2023</v>
      </c>
    </row>
    <row r="1491" spans="1:9" x14ac:dyDescent="0.3">
      <c r="A1491">
        <v>206468868</v>
      </c>
      <c r="B1491" s="1">
        <v>44999</v>
      </c>
      <c r="D1491" t="s">
        <v>7</v>
      </c>
      <c r="E1491">
        <v>39</v>
      </c>
      <c r="F1491" t="s">
        <v>6</v>
      </c>
      <c r="H1491" t="s">
        <v>62</v>
      </c>
      <c r="I1491">
        <v>2023</v>
      </c>
    </row>
    <row r="1492" spans="1:9" x14ac:dyDescent="0.3">
      <c r="A1492">
        <v>206316124</v>
      </c>
      <c r="B1492" s="1">
        <v>44999</v>
      </c>
      <c r="D1492" t="s">
        <v>7</v>
      </c>
      <c r="E1492">
        <v>39</v>
      </c>
      <c r="F1492" t="s">
        <v>6</v>
      </c>
      <c r="H1492" t="s">
        <v>62</v>
      </c>
      <c r="I1492">
        <v>2023</v>
      </c>
    </row>
    <row r="1493" spans="1:9" x14ac:dyDescent="0.3">
      <c r="A1493">
        <v>203404034</v>
      </c>
      <c r="B1493" s="1">
        <v>44999</v>
      </c>
      <c r="C1493" s="1">
        <v>45099</v>
      </c>
      <c r="D1493" t="s">
        <v>7</v>
      </c>
      <c r="E1493">
        <v>39</v>
      </c>
      <c r="F1493" t="s">
        <v>6</v>
      </c>
      <c r="G1493" s="19">
        <v>100</v>
      </c>
      <c r="H1493" t="s">
        <v>62</v>
      </c>
      <c r="I1493">
        <v>2023</v>
      </c>
    </row>
    <row r="1494" spans="1:9" x14ac:dyDescent="0.3">
      <c r="A1494">
        <v>206284545</v>
      </c>
      <c r="B1494" s="1">
        <v>44999</v>
      </c>
      <c r="C1494" s="1">
        <v>45080</v>
      </c>
      <c r="D1494" t="s">
        <v>7</v>
      </c>
      <c r="E1494">
        <v>39</v>
      </c>
      <c r="F1494" t="s">
        <v>6</v>
      </c>
      <c r="G1494" s="19">
        <v>81</v>
      </c>
      <c r="H1494" t="s">
        <v>62</v>
      </c>
      <c r="I1494">
        <v>2023</v>
      </c>
    </row>
    <row r="1495" spans="1:9" x14ac:dyDescent="0.3">
      <c r="A1495">
        <v>206470657</v>
      </c>
      <c r="B1495" s="1">
        <v>44999</v>
      </c>
      <c r="C1495" s="1">
        <v>45049</v>
      </c>
      <c r="D1495" t="s">
        <v>7</v>
      </c>
      <c r="E1495">
        <v>39</v>
      </c>
      <c r="F1495" t="s">
        <v>6</v>
      </c>
      <c r="G1495" s="19">
        <v>50</v>
      </c>
      <c r="H1495" t="s">
        <v>62</v>
      </c>
      <c r="I1495">
        <v>2023</v>
      </c>
    </row>
    <row r="1496" spans="1:9" x14ac:dyDescent="0.3">
      <c r="A1496">
        <v>206458744</v>
      </c>
      <c r="B1496" s="1">
        <v>44999</v>
      </c>
      <c r="C1496" s="1">
        <v>45040</v>
      </c>
      <c r="D1496" t="s">
        <v>7</v>
      </c>
      <c r="E1496">
        <v>39</v>
      </c>
      <c r="F1496" t="s">
        <v>6</v>
      </c>
      <c r="G1496" s="19">
        <v>41</v>
      </c>
      <c r="H1496" t="s">
        <v>62</v>
      </c>
      <c r="I1496">
        <v>2023</v>
      </c>
    </row>
    <row r="1497" spans="1:9" x14ac:dyDescent="0.3">
      <c r="A1497">
        <v>206122814</v>
      </c>
      <c r="B1497" s="1">
        <v>44999</v>
      </c>
      <c r="C1497" s="1">
        <v>45029</v>
      </c>
      <c r="D1497" t="s">
        <v>7</v>
      </c>
      <c r="E1497">
        <v>39</v>
      </c>
      <c r="F1497" t="s">
        <v>6</v>
      </c>
      <c r="G1497" s="19">
        <v>30</v>
      </c>
      <c r="H1497" t="s">
        <v>62</v>
      </c>
      <c r="I1497">
        <v>2023</v>
      </c>
    </row>
    <row r="1498" spans="1:9" x14ac:dyDescent="0.3">
      <c r="A1498">
        <v>206549666</v>
      </c>
      <c r="B1498" s="1">
        <v>45000</v>
      </c>
      <c r="D1498" t="s">
        <v>7</v>
      </c>
      <c r="E1498">
        <v>39</v>
      </c>
      <c r="F1498" t="s">
        <v>6</v>
      </c>
      <c r="H1498" t="s">
        <v>63</v>
      </c>
      <c r="I1498">
        <v>2023</v>
      </c>
    </row>
    <row r="1499" spans="1:9" x14ac:dyDescent="0.3">
      <c r="A1499">
        <v>133623621</v>
      </c>
      <c r="B1499" s="1">
        <v>45000</v>
      </c>
      <c r="D1499" t="s">
        <v>7</v>
      </c>
      <c r="E1499">
        <v>39</v>
      </c>
      <c r="F1499" t="s">
        <v>6</v>
      </c>
      <c r="H1499" t="s">
        <v>63</v>
      </c>
      <c r="I1499">
        <v>2023</v>
      </c>
    </row>
    <row r="1500" spans="1:9" x14ac:dyDescent="0.3">
      <c r="A1500">
        <v>130982816</v>
      </c>
      <c r="B1500" s="1">
        <v>45000</v>
      </c>
      <c r="D1500" t="s">
        <v>7</v>
      </c>
      <c r="E1500">
        <v>39</v>
      </c>
      <c r="F1500" t="s">
        <v>6</v>
      </c>
      <c r="H1500" t="s">
        <v>63</v>
      </c>
      <c r="I1500">
        <v>2023</v>
      </c>
    </row>
    <row r="1501" spans="1:9" x14ac:dyDescent="0.3">
      <c r="A1501">
        <v>143776119</v>
      </c>
      <c r="B1501" s="1">
        <v>45000</v>
      </c>
      <c r="C1501" s="1">
        <v>45166</v>
      </c>
      <c r="D1501" t="s">
        <v>7</v>
      </c>
      <c r="E1501">
        <v>39</v>
      </c>
      <c r="F1501" t="s">
        <v>6</v>
      </c>
      <c r="G1501" s="19">
        <v>166</v>
      </c>
      <c r="H1501" t="s">
        <v>63</v>
      </c>
      <c r="I1501">
        <v>2023</v>
      </c>
    </row>
    <row r="1502" spans="1:9" x14ac:dyDescent="0.3">
      <c r="A1502">
        <v>206542743</v>
      </c>
      <c r="B1502" s="1">
        <v>45000</v>
      </c>
      <c r="C1502" s="1">
        <v>45001</v>
      </c>
      <c r="D1502" t="s">
        <v>8</v>
      </c>
      <c r="E1502">
        <v>39</v>
      </c>
      <c r="F1502" t="s">
        <v>6</v>
      </c>
      <c r="G1502" s="19">
        <v>1</v>
      </c>
      <c r="H1502" t="s">
        <v>63</v>
      </c>
      <c r="I1502">
        <v>2023</v>
      </c>
    </row>
    <row r="1503" spans="1:9" x14ac:dyDescent="0.3">
      <c r="A1503">
        <v>206158603</v>
      </c>
      <c r="B1503" s="1">
        <v>45000</v>
      </c>
      <c r="C1503" s="1">
        <v>45001</v>
      </c>
      <c r="D1503" t="s">
        <v>8</v>
      </c>
      <c r="E1503">
        <v>39</v>
      </c>
      <c r="F1503" t="s">
        <v>6</v>
      </c>
      <c r="G1503" s="19">
        <v>1</v>
      </c>
      <c r="H1503" t="s">
        <v>63</v>
      </c>
      <c r="I1503">
        <v>2023</v>
      </c>
    </row>
    <row r="1504" spans="1:9" x14ac:dyDescent="0.3">
      <c r="A1504">
        <v>206548046</v>
      </c>
      <c r="B1504" s="1">
        <v>45000</v>
      </c>
      <c r="C1504" s="1">
        <v>45085</v>
      </c>
      <c r="D1504" t="s">
        <v>7</v>
      </c>
      <c r="E1504">
        <v>39</v>
      </c>
      <c r="F1504" t="s">
        <v>6</v>
      </c>
      <c r="G1504" s="19">
        <v>85</v>
      </c>
      <c r="H1504" t="s">
        <v>63</v>
      </c>
      <c r="I1504">
        <v>2023</v>
      </c>
    </row>
    <row r="1505" spans="1:9" x14ac:dyDescent="0.3">
      <c r="A1505">
        <v>168464004</v>
      </c>
      <c r="B1505" s="1">
        <v>45000</v>
      </c>
      <c r="C1505" s="1">
        <v>45078</v>
      </c>
      <c r="D1505" t="s">
        <v>7</v>
      </c>
      <c r="E1505">
        <v>39</v>
      </c>
      <c r="F1505" t="s">
        <v>6</v>
      </c>
      <c r="G1505" s="19">
        <v>78</v>
      </c>
      <c r="H1505" t="s">
        <v>63</v>
      </c>
      <c r="I1505">
        <v>2023</v>
      </c>
    </row>
    <row r="1506" spans="1:9" x14ac:dyDescent="0.3">
      <c r="A1506">
        <v>146330379</v>
      </c>
      <c r="B1506" s="1">
        <v>45000</v>
      </c>
      <c r="C1506" s="1">
        <v>45035</v>
      </c>
      <c r="D1506" t="s">
        <v>7</v>
      </c>
      <c r="E1506">
        <v>39</v>
      </c>
      <c r="F1506" t="s">
        <v>6</v>
      </c>
      <c r="G1506" s="19">
        <v>35</v>
      </c>
      <c r="H1506" t="s">
        <v>63</v>
      </c>
      <c r="I1506">
        <v>2023</v>
      </c>
    </row>
    <row r="1507" spans="1:9" x14ac:dyDescent="0.3">
      <c r="A1507">
        <v>206006946</v>
      </c>
      <c r="B1507" s="1">
        <v>45000</v>
      </c>
      <c r="C1507" s="1">
        <v>45068</v>
      </c>
      <c r="D1507" t="s">
        <v>7</v>
      </c>
      <c r="E1507">
        <v>39</v>
      </c>
      <c r="F1507" t="s">
        <v>6</v>
      </c>
      <c r="G1507" s="19">
        <v>68</v>
      </c>
      <c r="H1507" t="s">
        <v>63</v>
      </c>
      <c r="I1507">
        <v>2023</v>
      </c>
    </row>
    <row r="1508" spans="1:9" x14ac:dyDescent="0.3">
      <c r="A1508">
        <v>206531388</v>
      </c>
      <c r="B1508" s="1">
        <v>45000</v>
      </c>
      <c r="C1508" s="1">
        <v>45021</v>
      </c>
      <c r="D1508" t="s">
        <v>7</v>
      </c>
      <c r="E1508">
        <v>39</v>
      </c>
      <c r="F1508" t="s">
        <v>6</v>
      </c>
      <c r="G1508" s="19">
        <v>21</v>
      </c>
      <c r="H1508" t="s">
        <v>63</v>
      </c>
      <c r="I1508">
        <v>2023</v>
      </c>
    </row>
    <row r="1509" spans="1:9" x14ac:dyDescent="0.3">
      <c r="A1509">
        <v>206512820</v>
      </c>
      <c r="B1509" s="1">
        <v>45000</v>
      </c>
      <c r="C1509" s="1">
        <v>45119</v>
      </c>
      <c r="D1509" t="s">
        <v>7</v>
      </c>
      <c r="E1509">
        <v>39</v>
      </c>
      <c r="F1509" t="s">
        <v>6</v>
      </c>
      <c r="G1509" s="19">
        <v>119</v>
      </c>
      <c r="H1509" t="s">
        <v>63</v>
      </c>
      <c r="I1509">
        <v>2023</v>
      </c>
    </row>
    <row r="1510" spans="1:9" x14ac:dyDescent="0.3">
      <c r="A1510">
        <v>206501414</v>
      </c>
      <c r="B1510" s="1">
        <v>45001</v>
      </c>
      <c r="D1510" t="s">
        <v>7</v>
      </c>
      <c r="E1510">
        <v>39</v>
      </c>
      <c r="F1510" t="s">
        <v>6</v>
      </c>
      <c r="H1510" t="s">
        <v>64</v>
      </c>
      <c r="I1510">
        <v>2023</v>
      </c>
    </row>
    <row r="1511" spans="1:9" x14ac:dyDescent="0.3">
      <c r="A1511">
        <v>181175226</v>
      </c>
      <c r="B1511" s="1">
        <v>45001</v>
      </c>
      <c r="C1511" s="1">
        <v>45016</v>
      </c>
      <c r="D1511" t="s">
        <v>7</v>
      </c>
      <c r="E1511">
        <v>39</v>
      </c>
      <c r="F1511" t="s">
        <v>6</v>
      </c>
      <c r="G1511" s="19">
        <v>15</v>
      </c>
      <c r="H1511" t="s">
        <v>64</v>
      </c>
      <c r="I1511">
        <v>2023</v>
      </c>
    </row>
    <row r="1512" spans="1:9" x14ac:dyDescent="0.3">
      <c r="A1512">
        <v>148758550</v>
      </c>
      <c r="B1512" s="1">
        <v>45002</v>
      </c>
      <c r="D1512" t="s">
        <v>7</v>
      </c>
      <c r="E1512">
        <v>39</v>
      </c>
      <c r="F1512" t="s">
        <v>6</v>
      </c>
      <c r="H1512" t="s">
        <v>65</v>
      </c>
      <c r="I1512">
        <v>2023</v>
      </c>
    </row>
    <row r="1513" spans="1:9" x14ac:dyDescent="0.3">
      <c r="A1513">
        <v>206682036</v>
      </c>
      <c r="B1513" s="1">
        <v>45002</v>
      </c>
      <c r="D1513" t="s">
        <v>7</v>
      </c>
      <c r="E1513">
        <v>39</v>
      </c>
      <c r="F1513" t="s">
        <v>6</v>
      </c>
      <c r="H1513" t="s">
        <v>65</v>
      </c>
      <c r="I1513">
        <v>2023</v>
      </c>
    </row>
    <row r="1514" spans="1:9" x14ac:dyDescent="0.3">
      <c r="A1514">
        <v>206149654</v>
      </c>
      <c r="B1514" s="1">
        <v>45002</v>
      </c>
      <c r="D1514" t="s">
        <v>7</v>
      </c>
      <c r="E1514">
        <v>39</v>
      </c>
      <c r="F1514" t="s">
        <v>6</v>
      </c>
      <c r="H1514" t="s">
        <v>65</v>
      </c>
      <c r="I1514">
        <v>2023</v>
      </c>
    </row>
    <row r="1515" spans="1:9" x14ac:dyDescent="0.3">
      <c r="A1515">
        <v>206653056</v>
      </c>
      <c r="B1515" s="1">
        <v>45002</v>
      </c>
      <c r="D1515" t="s">
        <v>7</v>
      </c>
      <c r="E1515">
        <v>39</v>
      </c>
      <c r="F1515" t="s">
        <v>6</v>
      </c>
      <c r="H1515" t="s">
        <v>65</v>
      </c>
      <c r="I1515">
        <v>2023</v>
      </c>
    </row>
    <row r="1516" spans="1:9" x14ac:dyDescent="0.3">
      <c r="A1516">
        <v>198466025</v>
      </c>
      <c r="B1516" s="1">
        <v>45002</v>
      </c>
      <c r="D1516" t="s">
        <v>7</v>
      </c>
      <c r="E1516">
        <v>39</v>
      </c>
      <c r="F1516" t="s">
        <v>6</v>
      </c>
      <c r="H1516" t="s">
        <v>65</v>
      </c>
      <c r="I1516">
        <v>2023</v>
      </c>
    </row>
    <row r="1517" spans="1:9" x14ac:dyDescent="0.3">
      <c r="A1517">
        <v>206685935</v>
      </c>
      <c r="B1517" s="1">
        <v>45002</v>
      </c>
      <c r="C1517" s="1">
        <v>45003</v>
      </c>
      <c r="D1517" t="s">
        <v>8</v>
      </c>
      <c r="E1517">
        <v>39</v>
      </c>
      <c r="F1517" t="s">
        <v>6</v>
      </c>
      <c r="G1517" s="19">
        <v>1</v>
      </c>
      <c r="H1517" t="s">
        <v>65</v>
      </c>
      <c r="I1517">
        <v>2023</v>
      </c>
    </row>
    <row r="1518" spans="1:9" x14ac:dyDescent="0.3">
      <c r="A1518">
        <v>206659390</v>
      </c>
      <c r="B1518" s="1">
        <v>45002</v>
      </c>
      <c r="C1518" s="1">
        <v>45003</v>
      </c>
      <c r="D1518" t="s">
        <v>8</v>
      </c>
      <c r="E1518">
        <v>39</v>
      </c>
      <c r="F1518" t="s">
        <v>6</v>
      </c>
      <c r="G1518" s="19">
        <v>1</v>
      </c>
      <c r="H1518" t="s">
        <v>65</v>
      </c>
      <c r="I1518">
        <v>2023</v>
      </c>
    </row>
    <row r="1519" spans="1:9" x14ac:dyDescent="0.3">
      <c r="A1519">
        <v>206550926</v>
      </c>
      <c r="B1519" s="1">
        <v>45002</v>
      </c>
      <c r="C1519" s="1">
        <v>45033</v>
      </c>
      <c r="D1519" t="s">
        <v>7</v>
      </c>
      <c r="E1519">
        <v>39</v>
      </c>
      <c r="F1519" t="s">
        <v>6</v>
      </c>
      <c r="G1519" s="19">
        <v>31</v>
      </c>
      <c r="H1519" t="s">
        <v>65</v>
      </c>
      <c r="I1519">
        <v>2023</v>
      </c>
    </row>
    <row r="1520" spans="1:9" x14ac:dyDescent="0.3">
      <c r="A1520">
        <v>206673590</v>
      </c>
      <c r="B1520" s="1">
        <v>45002</v>
      </c>
      <c r="C1520" s="1">
        <v>45015</v>
      </c>
      <c r="D1520" t="s">
        <v>7</v>
      </c>
      <c r="E1520">
        <v>39</v>
      </c>
      <c r="F1520" t="s">
        <v>6</v>
      </c>
      <c r="G1520" s="19">
        <v>13</v>
      </c>
      <c r="H1520" t="s">
        <v>65</v>
      </c>
      <c r="I1520">
        <v>2023</v>
      </c>
    </row>
    <row r="1521" spans="1:9" x14ac:dyDescent="0.3">
      <c r="A1521">
        <v>205593462</v>
      </c>
      <c r="B1521" s="1">
        <v>45002</v>
      </c>
      <c r="C1521" s="1">
        <v>45148</v>
      </c>
      <c r="D1521" t="s">
        <v>7</v>
      </c>
      <c r="E1521">
        <v>39</v>
      </c>
      <c r="F1521" t="s">
        <v>6</v>
      </c>
      <c r="G1521" s="19">
        <v>146</v>
      </c>
      <c r="H1521" t="s">
        <v>65</v>
      </c>
      <c r="I1521">
        <v>2023</v>
      </c>
    </row>
    <row r="1522" spans="1:9" x14ac:dyDescent="0.3">
      <c r="A1522">
        <v>205889926</v>
      </c>
      <c r="B1522" s="1">
        <v>45003</v>
      </c>
      <c r="D1522" t="s">
        <v>7</v>
      </c>
      <c r="E1522">
        <v>39</v>
      </c>
      <c r="F1522" t="s">
        <v>6</v>
      </c>
      <c r="H1522" t="s">
        <v>66</v>
      </c>
      <c r="I1522">
        <v>2023</v>
      </c>
    </row>
    <row r="1523" spans="1:9" x14ac:dyDescent="0.3">
      <c r="A1523">
        <v>151713121</v>
      </c>
      <c r="B1523" s="1">
        <v>45003</v>
      </c>
      <c r="D1523" t="s">
        <v>7</v>
      </c>
      <c r="E1523">
        <v>39</v>
      </c>
      <c r="F1523" t="s">
        <v>6</v>
      </c>
      <c r="H1523" t="s">
        <v>66</v>
      </c>
      <c r="I1523">
        <v>2023</v>
      </c>
    </row>
    <row r="1524" spans="1:9" x14ac:dyDescent="0.3">
      <c r="A1524">
        <v>206759898</v>
      </c>
      <c r="B1524" s="1">
        <v>45003</v>
      </c>
      <c r="C1524" s="1">
        <v>45004</v>
      </c>
      <c r="D1524" t="s">
        <v>8</v>
      </c>
      <c r="E1524">
        <v>39</v>
      </c>
      <c r="F1524" t="s">
        <v>6</v>
      </c>
      <c r="G1524" s="19">
        <v>1</v>
      </c>
      <c r="H1524" t="s">
        <v>66</v>
      </c>
      <c r="I1524">
        <v>2023</v>
      </c>
    </row>
    <row r="1525" spans="1:9" x14ac:dyDescent="0.3">
      <c r="A1525">
        <v>206750792</v>
      </c>
      <c r="B1525" s="1">
        <v>45003</v>
      </c>
      <c r="C1525" s="1">
        <v>45004</v>
      </c>
      <c r="D1525" t="s">
        <v>8</v>
      </c>
      <c r="E1525">
        <v>39</v>
      </c>
      <c r="F1525" t="s">
        <v>6</v>
      </c>
      <c r="G1525" s="19">
        <v>1</v>
      </c>
      <c r="H1525" t="s">
        <v>66</v>
      </c>
      <c r="I1525">
        <v>2023</v>
      </c>
    </row>
    <row r="1526" spans="1:9" x14ac:dyDescent="0.3">
      <c r="A1526">
        <v>206742592</v>
      </c>
      <c r="B1526" s="1">
        <v>45003</v>
      </c>
      <c r="C1526" s="1">
        <v>45004</v>
      </c>
      <c r="D1526" t="s">
        <v>8</v>
      </c>
      <c r="E1526">
        <v>39</v>
      </c>
      <c r="F1526" t="s">
        <v>6</v>
      </c>
      <c r="G1526" s="19">
        <v>1</v>
      </c>
      <c r="H1526" t="s">
        <v>66</v>
      </c>
      <c r="I1526">
        <v>2023</v>
      </c>
    </row>
    <row r="1527" spans="1:9" x14ac:dyDescent="0.3">
      <c r="A1527">
        <v>206700008</v>
      </c>
      <c r="B1527" s="1">
        <v>45003</v>
      </c>
      <c r="C1527" s="1">
        <v>45004</v>
      </c>
      <c r="D1527" t="s">
        <v>8</v>
      </c>
      <c r="E1527">
        <v>39</v>
      </c>
      <c r="F1527" t="s">
        <v>6</v>
      </c>
      <c r="G1527" s="19">
        <v>1</v>
      </c>
      <c r="H1527" t="s">
        <v>66</v>
      </c>
      <c r="I1527">
        <v>2023</v>
      </c>
    </row>
    <row r="1528" spans="1:9" x14ac:dyDescent="0.3">
      <c r="A1528">
        <v>156170916</v>
      </c>
      <c r="B1528" s="1">
        <v>45003</v>
      </c>
      <c r="C1528" s="1">
        <v>45152</v>
      </c>
      <c r="D1528" t="s">
        <v>7</v>
      </c>
      <c r="E1528">
        <v>39</v>
      </c>
      <c r="F1528" t="s">
        <v>6</v>
      </c>
      <c r="G1528" s="19">
        <v>149</v>
      </c>
      <c r="H1528" t="s">
        <v>66</v>
      </c>
      <c r="I1528">
        <v>2023</v>
      </c>
    </row>
    <row r="1529" spans="1:9" x14ac:dyDescent="0.3">
      <c r="A1529">
        <v>206607664</v>
      </c>
      <c r="B1529" s="1">
        <v>45003</v>
      </c>
      <c r="C1529" s="1">
        <v>45041</v>
      </c>
      <c r="D1529" t="s">
        <v>7</v>
      </c>
      <c r="E1529">
        <v>39</v>
      </c>
      <c r="F1529" t="s">
        <v>6</v>
      </c>
      <c r="G1529" s="19">
        <v>38</v>
      </c>
      <c r="H1529" t="s">
        <v>66</v>
      </c>
      <c r="I1529">
        <v>2023</v>
      </c>
    </row>
    <row r="1530" spans="1:9" x14ac:dyDescent="0.3">
      <c r="A1530">
        <v>183332399</v>
      </c>
      <c r="B1530" s="1">
        <v>45004</v>
      </c>
      <c r="D1530" t="s">
        <v>7</v>
      </c>
      <c r="E1530">
        <v>39</v>
      </c>
      <c r="F1530" t="s">
        <v>6</v>
      </c>
      <c r="H1530" t="s">
        <v>60</v>
      </c>
      <c r="I1530">
        <v>2023</v>
      </c>
    </row>
    <row r="1531" spans="1:9" x14ac:dyDescent="0.3">
      <c r="A1531">
        <v>176705210</v>
      </c>
      <c r="B1531" s="1">
        <v>45004</v>
      </c>
      <c r="C1531" s="1">
        <v>45005</v>
      </c>
      <c r="D1531" t="s">
        <v>7</v>
      </c>
      <c r="E1531">
        <v>39</v>
      </c>
      <c r="F1531" t="s">
        <v>6</v>
      </c>
      <c r="G1531" s="19">
        <v>1</v>
      </c>
      <c r="H1531" t="s">
        <v>60</v>
      </c>
      <c r="I1531">
        <v>2023</v>
      </c>
    </row>
    <row r="1532" spans="1:9" x14ac:dyDescent="0.3">
      <c r="A1532">
        <v>154901722</v>
      </c>
      <c r="B1532" s="1">
        <v>45004</v>
      </c>
      <c r="C1532" s="1">
        <v>45004</v>
      </c>
      <c r="D1532" t="s">
        <v>7</v>
      </c>
      <c r="E1532">
        <v>39</v>
      </c>
      <c r="F1532" t="s">
        <v>6</v>
      </c>
      <c r="G1532" s="19">
        <v>0</v>
      </c>
      <c r="H1532" t="s">
        <v>60</v>
      </c>
      <c r="I1532">
        <v>2023</v>
      </c>
    </row>
    <row r="1533" spans="1:9" x14ac:dyDescent="0.3">
      <c r="A1533">
        <v>153438676</v>
      </c>
      <c r="B1533" s="1">
        <v>45004</v>
      </c>
      <c r="C1533" s="1">
        <v>45072</v>
      </c>
      <c r="D1533" t="s">
        <v>7</v>
      </c>
      <c r="E1533">
        <v>39</v>
      </c>
      <c r="F1533" t="s">
        <v>6</v>
      </c>
      <c r="G1533" s="19">
        <v>68</v>
      </c>
      <c r="H1533" t="s">
        <v>60</v>
      </c>
      <c r="I1533">
        <v>2023</v>
      </c>
    </row>
    <row r="1534" spans="1:9" x14ac:dyDescent="0.3">
      <c r="A1534">
        <v>154901722</v>
      </c>
      <c r="B1534" s="1">
        <v>45004</v>
      </c>
      <c r="C1534" s="1">
        <v>45050</v>
      </c>
      <c r="D1534" t="s">
        <v>7</v>
      </c>
      <c r="E1534">
        <v>39</v>
      </c>
      <c r="F1534" t="s">
        <v>6</v>
      </c>
      <c r="G1534" s="19">
        <v>46</v>
      </c>
      <c r="H1534" t="s">
        <v>60</v>
      </c>
      <c r="I1534">
        <v>2023</v>
      </c>
    </row>
    <row r="1535" spans="1:9" x14ac:dyDescent="0.3">
      <c r="A1535">
        <v>123768696</v>
      </c>
      <c r="B1535" s="1">
        <v>45004</v>
      </c>
      <c r="C1535" s="1">
        <v>45027</v>
      </c>
      <c r="D1535" t="s">
        <v>7</v>
      </c>
      <c r="E1535">
        <v>39</v>
      </c>
      <c r="F1535" t="s">
        <v>6</v>
      </c>
      <c r="G1535" s="19">
        <v>23</v>
      </c>
      <c r="H1535" t="s">
        <v>60</v>
      </c>
      <c r="I1535">
        <v>2023</v>
      </c>
    </row>
    <row r="1536" spans="1:9" x14ac:dyDescent="0.3">
      <c r="A1536">
        <v>142976081</v>
      </c>
      <c r="B1536" s="1">
        <v>45004</v>
      </c>
      <c r="C1536" s="1">
        <v>45035</v>
      </c>
      <c r="D1536" t="s">
        <v>7</v>
      </c>
      <c r="E1536">
        <v>39</v>
      </c>
      <c r="F1536" t="s">
        <v>6</v>
      </c>
      <c r="G1536" s="19">
        <v>31</v>
      </c>
      <c r="H1536" t="s">
        <v>60</v>
      </c>
      <c r="I1536">
        <v>2023</v>
      </c>
    </row>
    <row r="1537" spans="1:9" x14ac:dyDescent="0.3">
      <c r="A1537">
        <v>152223051</v>
      </c>
      <c r="B1537" s="1">
        <v>45005</v>
      </c>
      <c r="D1537" t="s">
        <v>7</v>
      </c>
      <c r="E1537">
        <v>39</v>
      </c>
      <c r="F1537" t="s">
        <v>6</v>
      </c>
      <c r="H1537" t="s">
        <v>61</v>
      </c>
      <c r="I1537">
        <v>2023</v>
      </c>
    </row>
    <row r="1538" spans="1:9" x14ac:dyDescent="0.3">
      <c r="A1538">
        <v>206865174</v>
      </c>
      <c r="B1538" s="1">
        <v>45005</v>
      </c>
      <c r="D1538" t="s">
        <v>7</v>
      </c>
      <c r="E1538">
        <v>39</v>
      </c>
      <c r="F1538" t="s">
        <v>6</v>
      </c>
      <c r="H1538" t="s">
        <v>61</v>
      </c>
      <c r="I1538">
        <v>2023</v>
      </c>
    </row>
    <row r="1539" spans="1:9" x14ac:dyDescent="0.3">
      <c r="A1539">
        <v>143327052</v>
      </c>
      <c r="B1539" s="1">
        <v>45005</v>
      </c>
      <c r="D1539" t="s">
        <v>7</v>
      </c>
      <c r="E1539">
        <v>39</v>
      </c>
      <c r="F1539" t="s">
        <v>6</v>
      </c>
      <c r="H1539" t="s">
        <v>61</v>
      </c>
      <c r="I1539">
        <v>2023</v>
      </c>
    </row>
    <row r="1540" spans="1:9" x14ac:dyDescent="0.3">
      <c r="A1540">
        <v>202270426</v>
      </c>
      <c r="B1540" s="1">
        <v>45005</v>
      </c>
      <c r="C1540" s="1">
        <v>45006</v>
      </c>
      <c r="D1540" t="s">
        <v>7</v>
      </c>
      <c r="E1540">
        <v>39</v>
      </c>
      <c r="F1540" t="s">
        <v>6</v>
      </c>
      <c r="G1540" s="19">
        <v>1</v>
      </c>
      <c r="H1540" t="s">
        <v>61</v>
      </c>
      <c r="I1540">
        <v>2023</v>
      </c>
    </row>
    <row r="1541" spans="1:9" x14ac:dyDescent="0.3">
      <c r="A1541">
        <v>185602413</v>
      </c>
      <c r="B1541" s="1">
        <v>45005</v>
      </c>
      <c r="C1541" s="1">
        <v>45104</v>
      </c>
      <c r="D1541" t="s">
        <v>7</v>
      </c>
      <c r="E1541">
        <v>39</v>
      </c>
      <c r="F1541" t="s">
        <v>6</v>
      </c>
      <c r="G1541" s="19">
        <v>99</v>
      </c>
      <c r="H1541" t="s">
        <v>61</v>
      </c>
      <c r="I1541">
        <v>2023</v>
      </c>
    </row>
    <row r="1542" spans="1:9" x14ac:dyDescent="0.3">
      <c r="A1542">
        <v>206679618</v>
      </c>
      <c r="B1542" s="1">
        <v>45005</v>
      </c>
      <c r="C1542" s="1">
        <v>45047</v>
      </c>
      <c r="D1542" t="s">
        <v>7</v>
      </c>
      <c r="E1542">
        <v>39</v>
      </c>
      <c r="F1542" t="s">
        <v>6</v>
      </c>
      <c r="G1542" s="19">
        <v>42</v>
      </c>
      <c r="H1542" t="s">
        <v>61</v>
      </c>
      <c r="I1542">
        <v>2023</v>
      </c>
    </row>
    <row r="1543" spans="1:9" x14ac:dyDescent="0.3">
      <c r="A1543">
        <v>127561439</v>
      </c>
      <c r="B1543" s="1">
        <v>45005</v>
      </c>
      <c r="C1543" s="1">
        <v>45035</v>
      </c>
      <c r="D1543" t="s">
        <v>7</v>
      </c>
      <c r="E1543">
        <v>39</v>
      </c>
      <c r="F1543" t="s">
        <v>6</v>
      </c>
      <c r="G1543" s="19">
        <v>30</v>
      </c>
      <c r="H1543" t="s">
        <v>61</v>
      </c>
      <c r="I1543">
        <v>2023</v>
      </c>
    </row>
    <row r="1544" spans="1:9" x14ac:dyDescent="0.3">
      <c r="A1544">
        <v>176705210</v>
      </c>
      <c r="B1544" s="1">
        <v>45005</v>
      </c>
      <c r="C1544" s="1">
        <v>45005</v>
      </c>
      <c r="D1544" t="s">
        <v>7</v>
      </c>
      <c r="E1544">
        <v>39</v>
      </c>
      <c r="F1544" t="s">
        <v>6</v>
      </c>
      <c r="G1544" s="19">
        <v>0</v>
      </c>
      <c r="H1544" t="s">
        <v>61</v>
      </c>
      <c r="I1544">
        <v>2023</v>
      </c>
    </row>
    <row r="1545" spans="1:9" x14ac:dyDescent="0.3">
      <c r="A1545">
        <v>206693452</v>
      </c>
      <c r="B1545" s="1">
        <v>45006</v>
      </c>
      <c r="D1545" t="s">
        <v>7</v>
      </c>
      <c r="E1545">
        <v>39</v>
      </c>
      <c r="F1545" t="s">
        <v>6</v>
      </c>
      <c r="H1545" t="s">
        <v>62</v>
      </c>
      <c r="I1545">
        <v>2023</v>
      </c>
    </row>
    <row r="1546" spans="1:9" x14ac:dyDescent="0.3">
      <c r="A1546">
        <v>193499084</v>
      </c>
      <c r="B1546" s="1">
        <v>45006</v>
      </c>
      <c r="D1546" t="s">
        <v>7</v>
      </c>
      <c r="E1546">
        <v>39</v>
      </c>
      <c r="F1546" t="s">
        <v>6</v>
      </c>
      <c r="H1546" t="s">
        <v>62</v>
      </c>
      <c r="I1546">
        <v>2023</v>
      </c>
    </row>
    <row r="1547" spans="1:9" x14ac:dyDescent="0.3">
      <c r="A1547">
        <v>206995576</v>
      </c>
      <c r="B1547" s="1">
        <v>45006</v>
      </c>
      <c r="C1547" s="1">
        <v>45163</v>
      </c>
      <c r="D1547" t="s">
        <v>7</v>
      </c>
      <c r="E1547">
        <v>39</v>
      </c>
      <c r="F1547" t="s">
        <v>6</v>
      </c>
      <c r="G1547" s="19">
        <v>157</v>
      </c>
      <c r="H1547" t="s">
        <v>62</v>
      </c>
      <c r="I1547">
        <v>2023</v>
      </c>
    </row>
    <row r="1548" spans="1:9" x14ac:dyDescent="0.3">
      <c r="A1548">
        <v>154783053</v>
      </c>
      <c r="B1548" s="1">
        <v>45006</v>
      </c>
      <c r="C1548" s="1">
        <v>45050</v>
      </c>
      <c r="D1548" t="s">
        <v>7</v>
      </c>
      <c r="E1548">
        <v>39</v>
      </c>
      <c r="F1548" t="s">
        <v>6</v>
      </c>
      <c r="G1548" s="19">
        <v>44</v>
      </c>
      <c r="H1548" t="s">
        <v>62</v>
      </c>
      <c r="I1548">
        <v>2023</v>
      </c>
    </row>
    <row r="1549" spans="1:9" x14ac:dyDescent="0.3">
      <c r="A1549">
        <v>158349405</v>
      </c>
      <c r="B1549" s="1">
        <v>45006</v>
      </c>
      <c r="C1549" s="1">
        <v>45154</v>
      </c>
      <c r="D1549" t="s">
        <v>7</v>
      </c>
      <c r="E1549">
        <v>39</v>
      </c>
      <c r="F1549" t="s">
        <v>6</v>
      </c>
      <c r="G1549" s="19">
        <v>148</v>
      </c>
      <c r="H1549" t="s">
        <v>62</v>
      </c>
      <c r="I1549">
        <v>2023</v>
      </c>
    </row>
    <row r="1550" spans="1:9" x14ac:dyDescent="0.3">
      <c r="A1550">
        <v>205554002</v>
      </c>
      <c r="B1550" s="1">
        <v>45006</v>
      </c>
      <c r="C1550" s="1">
        <v>45153</v>
      </c>
      <c r="D1550" t="s">
        <v>7</v>
      </c>
      <c r="E1550">
        <v>39</v>
      </c>
      <c r="F1550" t="s">
        <v>6</v>
      </c>
      <c r="G1550" s="19">
        <v>147</v>
      </c>
      <c r="H1550" t="s">
        <v>62</v>
      </c>
      <c r="I1550">
        <v>2023</v>
      </c>
    </row>
    <row r="1551" spans="1:9" x14ac:dyDescent="0.3">
      <c r="A1551">
        <v>207045565</v>
      </c>
      <c r="B1551" s="1">
        <v>45007</v>
      </c>
      <c r="D1551" t="s">
        <v>7</v>
      </c>
      <c r="E1551">
        <v>39</v>
      </c>
      <c r="F1551" t="s">
        <v>6</v>
      </c>
      <c r="H1551" t="s">
        <v>63</v>
      </c>
      <c r="I1551">
        <v>2023</v>
      </c>
    </row>
    <row r="1552" spans="1:9" x14ac:dyDescent="0.3">
      <c r="A1552">
        <v>205483607</v>
      </c>
      <c r="B1552" s="1">
        <v>45007</v>
      </c>
      <c r="D1552" t="s">
        <v>7</v>
      </c>
      <c r="E1552">
        <v>39</v>
      </c>
      <c r="F1552" t="s">
        <v>6</v>
      </c>
      <c r="H1552" t="s">
        <v>63</v>
      </c>
      <c r="I1552">
        <v>2023</v>
      </c>
    </row>
    <row r="1553" spans="1:9" x14ac:dyDescent="0.3">
      <c r="A1553">
        <v>147662374</v>
      </c>
      <c r="B1553" s="1">
        <v>45007</v>
      </c>
      <c r="D1553" t="s">
        <v>7</v>
      </c>
      <c r="E1553">
        <v>39</v>
      </c>
      <c r="F1553" t="s">
        <v>6</v>
      </c>
      <c r="H1553" t="s">
        <v>63</v>
      </c>
      <c r="I1553">
        <v>2023</v>
      </c>
    </row>
    <row r="1554" spans="1:9" x14ac:dyDescent="0.3">
      <c r="A1554">
        <v>150652956</v>
      </c>
      <c r="B1554" s="1">
        <v>45007</v>
      </c>
      <c r="C1554" s="1">
        <v>45027</v>
      </c>
      <c r="D1554" t="s">
        <v>7</v>
      </c>
      <c r="E1554">
        <v>39</v>
      </c>
      <c r="F1554" t="s">
        <v>6</v>
      </c>
      <c r="G1554" s="19">
        <v>20</v>
      </c>
      <c r="H1554" t="s">
        <v>63</v>
      </c>
      <c r="I1554">
        <v>2023</v>
      </c>
    </row>
    <row r="1555" spans="1:9" x14ac:dyDescent="0.3">
      <c r="A1555">
        <v>206527656</v>
      </c>
      <c r="B1555" s="1">
        <v>45007</v>
      </c>
      <c r="C1555" s="1">
        <v>45085</v>
      </c>
      <c r="D1555" t="s">
        <v>7</v>
      </c>
      <c r="E1555">
        <v>39</v>
      </c>
      <c r="F1555" t="s">
        <v>6</v>
      </c>
      <c r="G1555" s="19">
        <v>78</v>
      </c>
      <c r="H1555" t="s">
        <v>63</v>
      </c>
      <c r="I1555">
        <v>2023</v>
      </c>
    </row>
    <row r="1556" spans="1:9" x14ac:dyDescent="0.3">
      <c r="A1556">
        <v>207041353</v>
      </c>
      <c r="B1556" s="1">
        <v>45007</v>
      </c>
      <c r="C1556" s="1">
        <v>45065</v>
      </c>
      <c r="D1556" t="s">
        <v>7</v>
      </c>
      <c r="E1556">
        <v>39</v>
      </c>
      <c r="F1556" t="s">
        <v>6</v>
      </c>
      <c r="G1556" s="19">
        <v>58</v>
      </c>
      <c r="H1556" t="s">
        <v>63</v>
      </c>
      <c r="I1556">
        <v>2023</v>
      </c>
    </row>
    <row r="1557" spans="1:9" x14ac:dyDescent="0.3">
      <c r="A1557">
        <v>204448911</v>
      </c>
      <c r="B1557" s="1">
        <v>45007</v>
      </c>
      <c r="C1557" s="1">
        <v>45037</v>
      </c>
      <c r="D1557" t="s">
        <v>7</v>
      </c>
      <c r="E1557">
        <v>39</v>
      </c>
      <c r="F1557" t="s">
        <v>6</v>
      </c>
      <c r="G1557" s="19">
        <v>30</v>
      </c>
      <c r="H1557" t="s">
        <v>63</v>
      </c>
      <c r="I1557">
        <v>2023</v>
      </c>
    </row>
    <row r="1558" spans="1:9" x14ac:dyDescent="0.3">
      <c r="A1558">
        <v>206951785</v>
      </c>
      <c r="B1558" s="1">
        <v>45007</v>
      </c>
      <c r="C1558" s="1">
        <v>45036</v>
      </c>
      <c r="D1558" t="s">
        <v>7</v>
      </c>
      <c r="E1558">
        <v>39</v>
      </c>
      <c r="F1558" t="s">
        <v>6</v>
      </c>
      <c r="G1558" s="19">
        <v>29</v>
      </c>
      <c r="H1558" t="s">
        <v>63</v>
      </c>
      <c r="I1558">
        <v>2023</v>
      </c>
    </row>
    <row r="1559" spans="1:9" x14ac:dyDescent="0.3">
      <c r="A1559">
        <v>206892555</v>
      </c>
      <c r="B1559" s="1">
        <v>45007</v>
      </c>
      <c r="C1559" s="1">
        <v>45009</v>
      </c>
      <c r="D1559" t="s">
        <v>7</v>
      </c>
      <c r="E1559">
        <v>39</v>
      </c>
      <c r="F1559" t="s">
        <v>6</v>
      </c>
      <c r="G1559" s="19">
        <v>2</v>
      </c>
      <c r="H1559" t="s">
        <v>63</v>
      </c>
      <c r="I1559">
        <v>2023</v>
      </c>
    </row>
    <row r="1560" spans="1:9" x14ac:dyDescent="0.3">
      <c r="A1560">
        <v>207051401</v>
      </c>
      <c r="B1560" s="1">
        <v>45008</v>
      </c>
      <c r="D1560" t="s">
        <v>7</v>
      </c>
      <c r="E1560">
        <v>39</v>
      </c>
      <c r="F1560" t="s">
        <v>6</v>
      </c>
      <c r="H1560" t="s">
        <v>64</v>
      </c>
      <c r="I1560">
        <v>2023</v>
      </c>
    </row>
    <row r="1561" spans="1:9" x14ac:dyDescent="0.3">
      <c r="A1561">
        <v>206904848</v>
      </c>
      <c r="B1561" s="1">
        <v>45008</v>
      </c>
      <c r="D1561" t="s">
        <v>7</v>
      </c>
      <c r="E1561">
        <v>39</v>
      </c>
      <c r="F1561" t="s">
        <v>6</v>
      </c>
      <c r="H1561" t="s">
        <v>64</v>
      </c>
      <c r="I1561">
        <v>2023</v>
      </c>
    </row>
    <row r="1562" spans="1:9" x14ac:dyDescent="0.3">
      <c r="A1562">
        <v>204598188</v>
      </c>
      <c r="B1562" s="1">
        <v>45008</v>
      </c>
      <c r="C1562" s="1">
        <v>45169</v>
      </c>
      <c r="D1562" t="s">
        <v>7</v>
      </c>
      <c r="E1562">
        <v>39</v>
      </c>
      <c r="F1562" t="s">
        <v>6</v>
      </c>
      <c r="G1562" s="19">
        <v>161</v>
      </c>
      <c r="H1562" t="s">
        <v>64</v>
      </c>
      <c r="I1562">
        <v>2023</v>
      </c>
    </row>
    <row r="1563" spans="1:9" x14ac:dyDescent="0.3">
      <c r="A1563">
        <v>206447228</v>
      </c>
      <c r="B1563" s="1">
        <v>45008</v>
      </c>
      <c r="C1563" s="1">
        <v>45072</v>
      </c>
      <c r="D1563" t="s">
        <v>7</v>
      </c>
      <c r="E1563">
        <v>39</v>
      </c>
      <c r="F1563" t="s">
        <v>6</v>
      </c>
      <c r="G1563" s="19">
        <v>64</v>
      </c>
      <c r="H1563" t="s">
        <v>64</v>
      </c>
      <c r="I1563">
        <v>2023</v>
      </c>
    </row>
    <row r="1564" spans="1:9" x14ac:dyDescent="0.3">
      <c r="A1564">
        <v>206190599</v>
      </c>
      <c r="B1564" s="1">
        <v>45008</v>
      </c>
      <c r="C1564" s="1">
        <v>45057</v>
      </c>
      <c r="D1564" t="s">
        <v>7</v>
      </c>
      <c r="E1564">
        <v>39</v>
      </c>
      <c r="F1564" t="s">
        <v>6</v>
      </c>
      <c r="G1564" s="19">
        <v>49</v>
      </c>
      <c r="H1564" t="s">
        <v>64</v>
      </c>
      <c r="I1564">
        <v>2023</v>
      </c>
    </row>
    <row r="1565" spans="1:9" x14ac:dyDescent="0.3">
      <c r="A1565">
        <v>207014740</v>
      </c>
      <c r="B1565" s="1">
        <v>45008</v>
      </c>
      <c r="C1565" s="1">
        <v>45023</v>
      </c>
      <c r="D1565" t="s">
        <v>7</v>
      </c>
      <c r="E1565">
        <v>39</v>
      </c>
      <c r="F1565" t="s">
        <v>6</v>
      </c>
      <c r="G1565" s="19">
        <v>15</v>
      </c>
      <c r="H1565" t="s">
        <v>64</v>
      </c>
      <c r="I1565">
        <v>2023</v>
      </c>
    </row>
    <row r="1566" spans="1:9" x14ac:dyDescent="0.3">
      <c r="A1566">
        <v>156762690</v>
      </c>
      <c r="B1566" s="1">
        <v>45008</v>
      </c>
      <c r="C1566" s="1">
        <v>45037</v>
      </c>
      <c r="D1566" t="s">
        <v>7</v>
      </c>
      <c r="E1566">
        <v>39</v>
      </c>
      <c r="F1566" t="s">
        <v>6</v>
      </c>
      <c r="G1566" s="19">
        <v>29</v>
      </c>
      <c r="H1566" t="s">
        <v>64</v>
      </c>
      <c r="I1566">
        <v>2023</v>
      </c>
    </row>
    <row r="1567" spans="1:9" x14ac:dyDescent="0.3">
      <c r="A1567">
        <v>207116463</v>
      </c>
      <c r="B1567" s="1">
        <v>45008</v>
      </c>
      <c r="C1567" s="1">
        <v>45037</v>
      </c>
      <c r="D1567" t="s">
        <v>7</v>
      </c>
      <c r="E1567">
        <v>39</v>
      </c>
      <c r="F1567" t="s">
        <v>6</v>
      </c>
      <c r="G1567" s="19">
        <v>29</v>
      </c>
      <c r="H1567" t="s">
        <v>64</v>
      </c>
      <c r="I1567">
        <v>2023</v>
      </c>
    </row>
    <row r="1568" spans="1:9" x14ac:dyDescent="0.3">
      <c r="A1568">
        <v>206555111</v>
      </c>
      <c r="B1568" s="1">
        <v>45008</v>
      </c>
      <c r="C1568" s="1">
        <v>45033</v>
      </c>
      <c r="D1568" t="s">
        <v>7</v>
      </c>
      <c r="E1568">
        <v>39</v>
      </c>
      <c r="F1568" t="s">
        <v>6</v>
      </c>
      <c r="G1568" s="19">
        <v>25</v>
      </c>
      <c r="H1568" t="s">
        <v>64</v>
      </c>
      <c r="I1568">
        <v>2023</v>
      </c>
    </row>
    <row r="1569" spans="1:9" x14ac:dyDescent="0.3">
      <c r="A1569">
        <v>169543155</v>
      </c>
      <c r="B1569" s="1">
        <v>45008</v>
      </c>
      <c r="C1569" s="1">
        <v>45046</v>
      </c>
      <c r="D1569" t="s">
        <v>7</v>
      </c>
      <c r="E1569">
        <v>39</v>
      </c>
      <c r="F1569" t="s">
        <v>6</v>
      </c>
      <c r="G1569" s="19">
        <v>38</v>
      </c>
      <c r="H1569" t="s">
        <v>64</v>
      </c>
      <c r="I1569">
        <v>2023</v>
      </c>
    </row>
    <row r="1570" spans="1:9" x14ac:dyDescent="0.3">
      <c r="A1570">
        <v>202270426</v>
      </c>
      <c r="B1570" s="1">
        <v>45008</v>
      </c>
      <c r="C1570" s="1">
        <v>45046</v>
      </c>
      <c r="D1570" t="s">
        <v>7</v>
      </c>
      <c r="E1570">
        <v>39</v>
      </c>
      <c r="F1570" t="s">
        <v>6</v>
      </c>
      <c r="G1570" s="19">
        <v>38</v>
      </c>
      <c r="H1570" t="s">
        <v>64</v>
      </c>
      <c r="I1570">
        <v>2023</v>
      </c>
    </row>
    <row r="1571" spans="1:9" x14ac:dyDescent="0.3">
      <c r="A1571">
        <v>207005361</v>
      </c>
      <c r="B1571" s="1">
        <v>45008</v>
      </c>
      <c r="C1571" s="1">
        <v>45118</v>
      </c>
      <c r="D1571" t="s">
        <v>7</v>
      </c>
      <c r="E1571">
        <v>39</v>
      </c>
      <c r="F1571" t="s">
        <v>6</v>
      </c>
      <c r="G1571" s="19">
        <v>110</v>
      </c>
      <c r="H1571" t="s">
        <v>64</v>
      </c>
      <c r="I1571">
        <v>2023</v>
      </c>
    </row>
    <row r="1572" spans="1:9" x14ac:dyDescent="0.3">
      <c r="A1572">
        <v>206105763</v>
      </c>
      <c r="B1572" s="1">
        <v>45009</v>
      </c>
      <c r="D1572" t="s">
        <v>7</v>
      </c>
      <c r="E1572">
        <v>39</v>
      </c>
      <c r="F1572" t="s">
        <v>6</v>
      </c>
      <c r="H1572" t="s">
        <v>65</v>
      </c>
      <c r="I1572">
        <v>2023</v>
      </c>
    </row>
    <row r="1573" spans="1:9" x14ac:dyDescent="0.3">
      <c r="A1573">
        <v>198968224</v>
      </c>
      <c r="B1573" s="1">
        <v>45009</v>
      </c>
      <c r="D1573" t="s">
        <v>7</v>
      </c>
      <c r="E1573">
        <v>39</v>
      </c>
      <c r="F1573" t="s">
        <v>6</v>
      </c>
      <c r="H1573" t="s">
        <v>65</v>
      </c>
      <c r="I1573">
        <v>2023</v>
      </c>
    </row>
    <row r="1574" spans="1:9" x14ac:dyDescent="0.3">
      <c r="A1574">
        <v>205342230</v>
      </c>
      <c r="B1574" s="1">
        <v>45009</v>
      </c>
      <c r="D1574" t="s">
        <v>7</v>
      </c>
      <c r="E1574">
        <v>39</v>
      </c>
      <c r="F1574" t="s">
        <v>6</v>
      </c>
      <c r="H1574" t="s">
        <v>65</v>
      </c>
      <c r="I1574">
        <v>2023</v>
      </c>
    </row>
    <row r="1575" spans="1:9" x14ac:dyDescent="0.3">
      <c r="A1575">
        <v>207224044</v>
      </c>
      <c r="B1575" s="1">
        <v>45009</v>
      </c>
      <c r="D1575" t="s">
        <v>7</v>
      </c>
      <c r="E1575">
        <v>39</v>
      </c>
      <c r="F1575" t="s">
        <v>6</v>
      </c>
      <c r="H1575" t="s">
        <v>65</v>
      </c>
      <c r="I1575">
        <v>2023</v>
      </c>
    </row>
    <row r="1576" spans="1:9" x14ac:dyDescent="0.3">
      <c r="A1576">
        <v>174232231</v>
      </c>
      <c r="B1576" s="1">
        <v>45009</v>
      </c>
      <c r="D1576" t="s">
        <v>7</v>
      </c>
      <c r="E1576">
        <v>39</v>
      </c>
      <c r="F1576" t="s">
        <v>6</v>
      </c>
      <c r="H1576" t="s">
        <v>65</v>
      </c>
      <c r="I1576">
        <v>2023</v>
      </c>
    </row>
    <row r="1577" spans="1:9" x14ac:dyDescent="0.3">
      <c r="A1577">
        <v>207017124</v>
      </c>
      <c r="B1577" s="1">
        <v>45009</v>
      </c>
      <c r="C1577" s="1">
        <v>45009</v>
      </c>
      <c r="D1577" t="s">
        <v>8</v>
      </c>
      <c r="E1577">
        <v>39</v>
      </c>
      <c r="F1577" t="s">
        <v>6</v>
      </c>
      <c r="G1577" s="19">
        <v>0</v>
      </c>
      <c r="H1577" t="s">
        <v>65</v>
      </c>
      <c r="I1577">
        <v>2023</v>
      </c>
    </row>
    <row r="1578" spans="1:9" x14ac:dyDescent="0.3">
      <c r="A1578">
        <v>194006146</v>
      </c>
      <c r="B1578" s="1">
        <v>45009</v>
      </c>
      <c r="C1578" s="1">
        <v>45093</v>
      </c>
      <c r="D1578" t="s">
        <v>7</v>
      </c>
      <c r="E1578">
        <v>39</v>
      </c>
      <c r="F1578" t="s">
        <v>6</v>
      </c>
      <c r="G1578" s="19">
        <v>84</v>
      </c>
      <c r="H1578" t="s">
        <v>65</v>
      </c>
      <c r="I1578">
        <v>2023</v>
      </c>
    </row>
    <row r="1579" spans="1:9" x14ac:dyDescent="0.3">
      <c r="A1579">
        <v>150509580</v>
      </c>
      <c r="B1579" s="1">
        <v>45009</v>
      </c>
      <c r="C1579" s="1">
        <v>45086</v>
      </c>
      <c r="D1579" t="s">
        <v>7</v>
      </c>
      <c r="E1579">
        <v>39</v>
      </c>
      <c r="F1579" t="s">
        <v>6</v>
      </c>
      <c r="G1579" s="19">
        <v>77</v>
      </c>
      <c r="H1579" t="s">
        <v>65</v>
      </c>
      <c r="I1579">
        <v>2023</v>
      </c>
    </row>
    <row r="1580" spans="1:9" x14ac:dyDescent="0.3">
      <c r="A1580">
        <v>207120479</v>
      </c>
      <c r="B1580" s="1">
        <v>45009</v>
      </c>
      <c r="C1580" s="1">
        <v>45076</v>
      </c>
      <c r="D1580" t="s">
        <v>7</v>
      </c>
      <c r="E1580">
        <v>39</v>
      </c>
      <c r="F1580" t="s">
        <v>6</v>
      </c>
      <c r="G1580" s="19">
        <v>67</v>
      </c>
      <c r="H1580" t="s">
        <v>65</v>
      </c>
      <c r="I1580">
        <v>2023</v>
      </c>
    </row>
    <row r="1581" spans="1:9" x14ac:dyDescent="0.3">
      <c r="A1581">
        <v>162069198</v>
      </c>
      <c r="B1581" s="1">
        <v>45009</v>
      </c>
      <c r="C1581" s="1">
        <v>45039</v>
      </c>
      <c r="D1581" t="s">
        <v>7</v>
      </c>
      <c r="E1581">
        <v>39</v>
      </c>
      <c r="F1581" t="s">
        <v>6</v>
      </c>
      <c r="G1581" s="19">
        <v>30</v>
      </c>
      <c r="H1581" t="s">
        <v>65</v>
      </c>
      <c r="I1581">
        <v>2023</v>
      </c>
    </row>
    <row r="1582" spans="1:9" x14ac:dyDescent="0.3">
      <c r="A1582">
        <v>206742272</v>
      </c>
      <c r="B1582" s="1">
        <v>45009</v>
      </c>
      <c r="C1582" s="1">
        <v>45044</v>
      </c>
      <c r="D1582" t="s">
        <v>7</v>
      </c>
      <c r="E1582">
        <v>39</v>
      </c>
      <c r="F1582" t="s">
        <v>6</v>
      </c>
      <c r="G1582" s="19">
        <v>35</v>
      </c>
      <c r="H1582" t="s">
        <v>65</v>
      </c>
      <c r="I1582">
        <v>2023</v>
      </c>
    </row>
    <row r="1583" spans="1:9" x14ac:dyDescent="0.3">
      <c r="A1583">
        <v>207433836</v>
      </c>
      <c r="B1583" s="1">
        <v>45010</v>
      </c>
      <c r="D1583" t="s">
        <v>7</v>
      </c>
      <c r="E1583">
        <v>39</v>
      </c>
      <c r="F1583" t="s">
        <v>6</v>
      </c>
      <c r="H1583" t="s">
        <v>66</v>
      </c>
      <c r="I1583">
        <v>2023</v>
      </c>
    </row>
    <row r="1584" spans="1:9" x14ac:dyDescent="0.3">
      <c r="A1584">
        <v>207382183</v>
      </c>
      <c r="B1584" s="1">
        <v>45010</v>
      </c>
      <c r="D1584" t="s">
        <v>7</v>
      </c>
      <c r="E1584">
        <v>39</v>
      </c>
      <c r="F1584" t="s">
        <v>6</v>
      </c>
      <c r="H1584" t="s">
        <v>66</v>
      </c>
      <c r="I1584">
        <v>2023</v>
      </c>
    </row>
    <row r="1585" spans="1:9" x14ac:dyDescent="0.3">
      <c r="A1585">
        <v>205051942</v>
      </c>
      <c r="B1585" s="1">
        <v>45010</v>
      </c>
      <c r="D1585" t="s">
        <v>7</v>
      </c>
      <c r="E1585">
        <v>39</v>
      </c>
      <c r="F1585" t="s">
        <v>6</v>
      </c>
      <c r="H1585" t="s">
        <v>66</v>
      </c>
      <c r="I1585">
        <v>2023</v>
      </c>
    </row>
    <row r="1586" spans="1:9" x14ac:dyDescent="0.3">
      <c r="A1586">
        <v>132631414</v>
      </c>
      <c r="B1586" s="1">
        <v>45010</v>
      </c>
      <c r="C1586" s="1">
        <v>45109</v>
      </c>
      <c r="D1586" t="s">
        <v>7</v>
      </c>
      <c r="E1586">
        <v>39</v>
      </c>
      <c r="F1586" t="s">
        <v>6</v>
      </c>
      <c r="G1586" s="19">
        <v>99</v>
      </c>
      <c r="H1586" t="s">
        <v>66</v>
      </c>
      <c r="I1586">
        <v>2023</v>
      </c>
    </row>
    <row r="1587" spans="1:9" x14ac:dyDescent="0.3">
      <c r="A1587">
        <v>207529664</v>
      </c>
      <c r="B1587" s="1">
        <v>45010</v>
      </c>
      <c r="C1587" s="1">
        <v>45016</v>
      </c>
      <c r="D1587" t="s">
        <v>7</v>
      </c>
      <c r="E1587">
        <v>39</v>
      </c>
      <c r="F1587" t="s">
        <v>6</v>
      </c>
      <c r="G1587" s="19">
        <v>6</v>
      </c>
      <c r="H1587" t="s">
        <v>66</v>
      </c>
      <c r="I1587">
        <v>2023</v>
      </c>
    </row>
    <row r="1588" spans="1:9" x14ac:dyDescent="0.3">
      <c r="A1588">
        <v>207022940</v>
      </c>
      <c r="B1588" s="1">
        <v>45010</v>
      </c>
      <c r="C1588" s="1">
        <v>45117</v>
      </c>
      <c r="D1588" t="s">
        <v>7</v>
      </c>
      <c r="E1588">
        <v>39</v>
      </c>
      <c r="F1588" t="s">
        <v>6</v>
      </c>
      <c r="G1588" s="19">
        <v>107</v>
      </c>
      <c r="H1588" t="s">
        <v>66</v>
      </c>
      <c r="I1588">
        <v>2023</v>
      </c>
    </row>
    <row r="1589" spans="1:9" x14ac:dyDescent="0.3">
      <c r="A1589">
        <v>207388337</v>
      </c>
      <c r="B1589" s="1">
        <v>45010</v>
      </c>
      <c r="C1589" s="1">
        <v>45141</v>
      </c>
      <c r="D1589" t="s">
        <v>7</v>
      </c>
      <c r="E1589">
        <v>39</v>
      </c>
      <c r="F1589" t="s">
        <v>6</v>
      </c>
      <c r="G1589" s="19">
        <v>131</v>
      </c>
      <c r="H1589" t="s">
        <v>66</v>
      </c>
      <c r="I1589">
        <v>2023</v>
      </c>
    </row>
    <row r="1590" spans="1:9" x14ac:dyDescent="0.3">
      <c r="A1590">
        <v>205883858</v>
      </c>
      <c r="B1590" s="1">
        <v>45011</v>
      </c>
      <c r="D1590" t="s">
        <v>7</v>
      </c>
      <c r="E1590">
        <v>39</v>
      </c>
      <c r="F1590" t="s">
        <v>6</v>
      </c>
      <c r="H1590" t="s">
        <v>60</v>
      </c>
      <c r="I1590">
        <v>2023</v>
      </c>
    </row>
    <row r="1591" spans="1:9" x14ac:dyDescent="0.3">
      <c r="A1591">
        <v>173711359</v>
      </c>
      <c r="B1591" s="1">
        <v>45011</v>
      </c>
      <c r="C1591" s="1">
        <v>45087</v>
      </c>
      <c r="D1591" t="s">
        <v>7</v>
      </c>
      <c r="E1591">
        <v>39</v>
      </c>
      <c r="F1591" t="s">
        <v>6</v>
      </c>
      <c r="G1591" s="19">
        <v>76</v>
      </c>
      <c r="H1591" t="s">
        <v>60</v>
      </c>
      <c r="I1591">
        <v>2023</v>
      </c>
    </row>
    <row r="1592" spans="1:9" x14ac:dyDescent="0.3">
      <c r="A1592">
        <v>207078726</v>
      </c>
      <c r="B1592" s="1">
        <v>45011</v>
      </c>
      <c r="C1592" s="1">
        <v>45090</v>
      </c>
      <c r="D1592" t="s">
        <v>7</v>
      </c>
      <c r="E1592">
        <v>39</v>
      </c>
      <c r="F1592" t="s">
        <v>6</v>
      </c>
      <c r="G1592" s="19">
        <v>79</v>
      </c>
      <c r="H1592" t="s">
        <v>60</v>
      </c>
      <c r="I1592">
        <v>2023</v>
      </c>
    </row>
    <row r="1593" spans="1:9" x14ac:dyDescent="0.3">
      <c r="A1593">
        <v>207415911</v>
      </c>
      <c r="B1593" s="1">
        <v>45011</v>
      </c>
      <c r="C1593" s="1">
        <v>45077</v>
      </c>
      <c r="D1593" t="s">
        <v>7</v>
      </c>
      <c r="E1593">
        <v>39</v>
      </c>
      <c r="F1593" t="s">
        <v>6</v>
      </c>
      <c r="G1593" s="19">
        <v>66</v>
      </c>
      <c r="H1593" t="s">
        <v>60</v>
      </c>
      <c r="I1593">
        <v>2023</v>
      </c>
    </row>
    <row r="1594" spans="1:9" x14ac:dyDescent="0.3">
      <c r="A1594">
        <v>207391012</v>
      </c>
      <c r="B1594" s="1">
        <v>45011</v>
      </c>
      <c r="C1594" s="1">
        <v>45022</v>
      </c>
      <c r="D1594" t="s">
        <v>7</v>
      </c>
      <c r="E1594">
        <v>39</v>
      </c>
      <c r="F1594" t="s">
        <v>6</v>
      </c>
      <c r="G1594" s="19">
        <v>11</v>
      </c>
      <c r="H1594" t="s">
        <v>60</v>
      </c>
      <c r="I1594">
        <v>2023</v>
      </c>
    </row>
    <row r="1595" spans="1:9" x14ac:dyDescent="0.3">
      <c r="A1595">
        <v>207699946</v>
      </c>
      <c r="B1595" s="1">
        <v>45011</v>
      </c>
      <c r="C1595" s="1">
        <v>45040</v>
      </c>
      <c r="D1595" t="s">
        <v>7</v>
      </c>
      <c r="E1595">
        <v>39</v>
      </c>
      <c r="F1595" t="s">
        <v>6</v>
      </c>
      <c r="G1595" s="19">
        <v>29</v>
      </c>
      <c r="H1595" t="s">
        <v>60</v>
      </c>
      <c r="I1595">
        <v>2023</v>
      </c>
    </row>
    <row r="1596" spans="1:9" x14ac:dyDescent="0.3">
      <c r="A1596">
        <v>207665488</v>
      </c>
      <c r="B1596" s="1">
        <v>45011</v>
      </c>
      <c r="C1596" s="1">
        <v>45011</v>
      </c>
      <c r="D1596" t="s">
        <v>7</v>
      </c>
      <c r="E1596">
        <v>39</v>
      </c>
      <c r="F1596" t="s">
        <v>6</v>
      </c>
      <c r="G1596" s="19">
        <v>0</v>
      </c>
      <c r="H1596" t="s">
        <v>60</v>
      </c>
      <c r="I1596">
        <v>2023</v>
      </c>
    </row>
    <row r="1597" spans="1:9" x14ac:dyDescent="0.3">
      <c r="A1597">
        <v>207742153</v>
      </c>
      <c r="B1597" s="1">
        <v>45011</v>
      </c>
      <c r="C1597" s="1">
        <v>45114</v>
      </c>
      <c r="D1597" t="s">
        <v>7</v>
      </c>
      <c r="E1597">
        <v>39</v>
      </c>
      <c r="F1597" t="s">
        <v>6</v>
      </c>
      <c r="G1597" s="19">
        <v>103</v>
      </c>
      <c r="H1597" t="s">
        <v>60</v>
      </c>
      <c r="I1597">
        <v>2023</v>
      </c>
    </row>
    <row r="1598" spans="1:9" x14ac:dyDescent="0.3">
      <c r="A1598">
        <v>207288677</v>
      </c>
      <c r="B1598" s="1">
        <v>45012</v>
      </c>
      <c r="D1598" t="s">
        <v>7</v>
      </c>
      <c r="E1598">
        <v>39</v>
      </c>
      <c r="F1598" t="s">
        <v>6</v>
      </c>
      <c r="H1598" t="s">
        <v>61</v>
      </c>
      <c r="I1598">
        <v>2023</v>
      </c>
    </row>
    <row r="1599" spans="1:9" x14ac:dyDescent="0.3">
      <c r="A1599">
        <v>208151007</v>
      </c>
      <c r="B1599" s="1">
        <v>45012</v>
      </c>
      <c r="D1599" t="s">
        <v>7</v>
      </c>
      <c r="E1599">
        <v>39</v>
      </c>
      <c r="F1599" t="s">
        <v>6</v>
      </c>
      <c r="H1599" t="s">
        <v>61</v>
      </c>
      <c r="I1599">
        <v>2023</v>
      </c>
    </row>
    <row r="1600" spans="1:9" x14ac:dyDescent="0.3">
      <c r="A1600">
        <v>207218336</v>
      </c>
      <c r="B1600" s="1">
        <v>45012</v>
      </c>
      <c r="D1600" t="s">
        <v>7</v>
      </c>
      <c r="E1600">
        <v>39</v>
      </c>
      <c r="F1600" t="s">
        <v>6</v>
      </c>
      <c r="H1600" t="s">
        <v>61</v>
      </c>
      <c r="I1600">
        <v>2023</v>
      </c>
    </row>
    <row r="1601" spans="1:9" x14ac:dyDescent="0.3">
      <c r="A1601">
        <v>208105889</v>
      </c>
      <c r="B1601" s="1">
        <v>45012</v>
      </c>
      <c r="D1601" t="s">
        <v>7</v>
      </c>
      <c r="E1601">
        <v>39</v>
      </c>
      <c r="F1601" t="s">
        <v>6</v>
      </c>
      <c r="H1601" t="s">
        <v>61</v>
      </c>
      <c r="I1601">
        <v>2023</v>
      </c>
    </row>
    <row r="1602" spans="1:9" x14ac:dyDescent="0.3">
      <c r="A1602">
        <v>152221925</v>
      </c>
      <c r="B1602" s="1">
        <v>45012</v>
      </c>
      <c r="C1602" s="1">
        <v>45096</v>
      </c>
      <c r="D1602" t="s">
        <v>7</v>
      </c>
      <c r="E1602">
        <v>39</v>
      </c>
      <c r="F1602" t="s">
        <v>6</v>
      </c>
      <c r="G1602" s="19">
        <v>84</v>
      </c>
      <c r="H1602" t="s">
        <v>61</v>
      </c>
      <c r="I1602">
        <v>2023</v>
      </c>
    </row>
    <row r="1603" spans="1:9" x14ac:dyDescent="0.3">
      <c r="A1603">
        <v>207090754</v>
      </c>
      <c r="B1603" s="1">
        <v>45012</v>
      </c>
      <c r="C1603" s="1">
        <v>45078</v>
      </c>
      <c r="D1603" t="s">
        <v>7</v>
      </c>
      <c r="E1603">
        <v>39</v>
      </c>
      <c r="F1603" t="s">
        <v>6</v>
      </c>
      <c r="G1603" s="19">
        <v>66</v>
      </c>
      <c r="H1603" t="s">
        <v>61</v>
      </c>
      <c r="I1603">
        <v>2023</v>
      </c>
    </row>
    <row r="1604" spans="1:9" x14ac:dyDescent="0.3">
      <c r="A1604">
        <v>128283235</v>
      </c>
      <c r="B1604" s="1">
        <v>45012</v>
      </c>
      <c r="C1604" s="1">
        <v>45134</v>
      </c>
      <c r="D1604" t="s">
        <v>7</v>
      </c>
      <c r="E1604">
        <v>39</v>
      </c>
      <c r="F1604" t="s">
        <v>6</v>
      </c>
      <c r="G1604" s="19">
        <v>122</v>
      </c>
      <c r="H1604" t="s">
        <v>61</v>
      </c>
      <c r="I1604">
        <v>2023</v>
      </c>
    </row>
    <row r="1605" spans="1:9" x14ac:dyDescent="0.3">
      <c r="A1605">
        <v>206686106</v>
      </c>
      <c r="B1605" s="1">
        <v>45012</v>
      </c>
      <c r="C1605" s="1">
        <v>45050</v>
      </c>
      <c r="D1605" t="s">
        <v>7</v>
      </c>
      <c r="E1605">
        <v>39</v>
      </c>
      <c r="F1605" t="s">
        <v>6</v>
      </c>
      <c r="G1605" s="19">
        <v>38</v>
      </c>
      <c r="H1605" t="s">
        <v>61</v>
      </c>
      <c r="I1605">
        <v>2023</v>
      </c>
    </row>
    <row r="1606" spans="1:9" x14ac:dyDescent="0.3">
      <c r="A1606">
        <v>208090380</v>
      </c>
      <c r="B1606" s="1">
        <v>45012</v>
      </c>
      <c r="C1606" s="1">
        <v>45026</v>
      </c>
      <c r="D1606" t="s">
        <v>7</v>
      </c>
      <c r="E1606">
        <v>39</v>
      </c>
      <c r="F1606" t="s">
        <v>6</v>
      </c>
      <c r="G1606" s="19">
        <v>14</v>
      </c>
      <c r="H1606" t="s">
        <v>61</v>
      </c>
      <c r="I1606">
        <v>2023</v>
      </c>
    </row>
    <row r="1607" spans="1:9" x14ac:dyDescent="0.3">
      <c r="A1607">
        <v>153281230</v>
      </c>
      <c r="B1607" s="1">
        <v>45012</v>
      </c>
      <c r="C1607" s="1">
        <v>45033</v>
      </c>
      <c r="D1607" t="s">
        <v>7</v>
      </c>
      <c r="E1607">
        <v>39</v>
      </c>
      <c r="F1607" t="s">
        <v>6</v>
      </c>
      <c r="G1607" s="19">
        <v>21</v>
      </c>
      <c r="H1607" t="s">
        <v>61</v>
      </c>
      <c r="I1607">
        <v>2023</v>
      </c>
    </row>
    <row r="1608" spans="1:9" x14ac:dyDescent="0.3">
      <c r="A1608">
        <v>205049710</v>
      </c>
      <c r="B1608" s="1">
        <v>45012</v>
      </c>
      <c r="C1608" s="1">
        <v>45013</v>
      </c>
      <c r="D1608" t="s">
        <v>7</v>
      </c>
      <c r="E1608">
        <v>39</v>
      </c>
      <c r="F1608" t="s">
        <v>6</v>
      </c>
      <c r="G1608" s="19">
        <v>1</v>
      </c>
      <c r="H1608" t="s">
        <v>61</v>
      </c>
      <c r="I1608">
        <v>2023</v>
      </c>
    </row>
    <row r="1609" spans="1:9" x14ac:dyDescent="0.3">
      <c r="A1609">
        <v>208618235</v>
      </c>
      <c r="B1609" s="1">
        <v>45013</v>
      </c>
      <c r="D1609" t="s">
        <v>7</v>
      </c>
      <c r="E1609">
        <v>39</v>
      </c>
      <c r="F1609" t="s">
        <v>6</v>
      </c>
      <c r="H1609" t="s">
        <v>62</v>
      </c>
      <c r="I1609">
        <v>2023</v>
      </c>
    </row>
    <row r="1610" spans="1:9" x14ac:dyDescent="0.3">
      <c r="A1610">
        <v>167713351</v>
      </c>
      <c r="B1610" s="1">
        <v>45013</v>
      </c>
      <c r="D1610" t="s">
        <v>7</v>
      </c>
      <c r="E1610">
        <v>39</v>
      </c>
      <c r="F1610" t="s">
        <v>6</v>
      </c>
      <c r="H1610" t="s">
        <v>62</v>
      </c>
      <c r="I1610">
        <v>2023</v>
      </c>
    </row>
    <row r="1611" spans="1:9" x14ac:dyDescent="0.3">
      <c r="A1611">
        <v>149975492</v>
      </c>
      <c r="B1611" s="1">
        <v>45013</v>
      </c>
      <c r="D1611" t="s">
        <v>7</v>
      </c>
      <c r="E1611">
        <v>39</v>
      </c>
      <c r="F1611" t="s">
        <v>6</v>
      </c>
      <c r="H1611" t="s">
        <v>62</v>
      </c>
      <c r="I1611">
        <v>2023</v>
      </c>
    </row>
    <row r="1612" spans="1:9" x14ac:dyDescent="0.3">
      <c r="A1612">
        <v>208286745</v>
      </c>
      <c r="B1612" s="1">
        <v>45013</v>
      </c>
      <c r="D1612" t="s">
        <v>7</v>
      </c>
      <c r="E1612">
        <v>39</v>
      </c>
      <c r="F1612" t="s">
        <v>6</v>
      </c>
      <c r="H1612" t="s">
        <v>62</v>
      </c>
      <c r="I1612">
        <v>2023</v>
      </c>
    </row>
    <row r="1613" spans="1:9" x14ac:dyDescent="0.3">
      <c r="A1613">
        <v>208473540</v>
      </c>
      <c r="B1613" s="1">
        <v>45013</v>
      </c>
      <c r="C1613" s="1">
        <v>45013</v>
      </c>
      <c r="D1613" t="s">
        <v>7</v>
      </c>
      <c r="E1613">
        <v>39</v>
      </c>
      <c r="F1613" t="s">
        <v>6</v>
      </c>
      <c r="G1613" s="19">
        <v>0</v>
      </c>
      <c r="H1613" t="s">
        <v>62</v>
      </c>
      <c r="I1613">
        <v>2023</v>
      </c>
    </row>
    <row r="1614" spans="1:9" x14ac:dyDescent="0.3">
      <c r="A1614">
        <v>137721176</v>
      </c>
      <c r="B1614" s="1">
        <v>45013</v>
      </c>
      <c r="C1614" s="1">
        <v>45138</v>
      </c>
      <c r="D1614" t="s">
        <v>7</v>
      </c>
      <c r="E1614">
        <v>39</v>
      </c>
      <c r="F1614" t="s">
        <v>6</v>
      </c>
      <c r="G1614" s="19">
        <v>125</v>
      </c>
      <c r="H1614" t="s">
        <v>62</v>
      </c>
      <c r="I1614">
        <v>2023</v>
      </c>
    </row>
    <row r="1615" spans="1:9" x14ac:dyDescent="0.3">
      <c r="A1615">
        <v>140062581</v>
      </c>
      <c r="B1615" s="1">
        <v>45013</v>
      </c>
      <c r="C1615" s="1">
        <v>45059</v>
      </c>
      <c r="D1615" t="s">
        <v>7</v>
      </c>
      <c r="E1615">
        <v>39</v>
      </c>
      <c r="F1615" t="s">
        <v>6</v>
      </c>
      <c r="G1615" s="19">
        <v>46</v>
      </c>
      <c r="H1615" t="s">
        <v>62</v>
      </c>
      <c r="I1615">
        <v>2023</v>
      </c>
    </row>
    <row r="1616" spans="1:9" x14ac:dyDescent="0.3">
      <c r="A1616">
        <v>208488674</v>
      </c>
      <c r="B1616" s="1">
        <v>45013</v>
      </c>
      <c r="C1616" s="1">
        <v>45078</v>
      </c>
      <c r="D1616" t="s">
        <v>7</v>
      </c>
      <c r="E1616">
        <v>39</v>
      </c>
      <c r="F1616" t="s">
        <v>6</v>
      </c>
      <c r="G1616" s="19">
        <v>65</v>
      </c>
      <c r="H1616" t="s">
        <v>62</v>
      </c>
      <c r="I1616">
        <v>2023</v>
      </c>
    </row>
    <row r="1617" spans="1:9" x14ac:dyDescent="0.3">
      <c r="A1617">
        <v>162752410</v>
      </c>
      <c r="B1617" s="1">
        <v>45013</v>
      </c>
      <c r="C1617" s="1">
        <v>45158</v>
      </c>
      <c r="D1617" t="s">
        <v>7</v>
      </c>
      <c r="E1617">
        <v>39</v>
      </c>
      <c r="F1617" t="s">
        <v>6</v>
      </c>
      <c r="G1617" s="19">
        <v>145</v>
      </c>
      <c r="H1617" t="s">
        <v>62</v>
      </c>
      <c r="I1617">
        <v>2023</v>
      </c>
    </row>
    <row r="1618" spans="1:9" x14ac:dyDescent="0.3">
      <c r="A1618">
        <v>208598415</v>
      </c>
      <c r="B1618" s="1">
        <v>45013</v>
      </c>
      <c r="C1618" s="1">
        <v>45049</v>
      </c>
      <c r="D1618" t="s">
        <v>7</v>
      </c>
      <c r="E1618">
        <v>39</v>
      </c>
      <c r="F1618" t="s">
        <v>6</v>
      </c>
      <c r="G1618" s="19">
        <v>36</v>
      </c>
      <c r="H1618" t="s">
        <v>62</v>
      </c>
      <c r="I1618">
        <v>2023</v>
      </c>
    </row>
    <row r="1619" spans="1:9" x14ac:dyDescent="0.3">
      <c r="A1619">
        <v>143427096</v>
      </c>
      <c r="B1619" s="1">
        <v>45013</v>
      </c>
      <c r="C1619" s="1">
        <v>45047</v>
      </c>
      <c r="D1619" t="s">
        <v>7</v>
      </c>
      <c r="E1619">
        <v>39</v>
      </c>
      <c r="F1619" t="s">
        <v>6</v>
      </c>
      <c r="G1619" s="19">
        <v>34</v>
      </c>
      <c r="H1619" t="s">
        <v>62</v>
      </c>
      <c r="I1619">
        <v>2023</v>
      </c>
    </row>
    <row r="1620" spans="1:9" x14ac:dyDescent="0.3">
      <c r="A1620">
        <v>208480650</v>
      </c>
      <c r="B1620" s="1">
        <v>45013</v>
      </c>
      <c r="C1620" s="1">
        <v>45030</v>
      </c>
      <c r="D1620" t="s">
        <v>7</v>
      </c>
      <c r="E1620">
        <v>39</v>
      </c>
      <c r="F1620" t="s">
        <v>6</v>
      </c>
      <c r="G1620" s="19">
        <v>17</v>
      </c>
      <c r="H1620" t="s">
        <v>62</v>
      </c>
      <c r="I1620">
        <v>2023</v>
      </c>
    </row>
    <row r="1621" spans="1:9" x14ac:dyDescent="0.3">
      <c r="A1621">
        <v>147000442</v>
      </c>
      <c r="B1621" s="1">
        <v>45014</v>
      </c>
      <c r="D1621" t="s">
        <v>7</v>
      </c>
      <c r="E1621">
        <v>39</v>
      </c>
      <c r="F1621" t="s">
        <v>6</v>
      </c>
      <c r="H1621" t="s">
        <v>63</v>
      </c>
      <c r="I1621">
        <v>2023</v>
      </c>
    </row>
    <row r="1622" spans="1:9" x14ac:dyDescent="0.3">
      <c r="A1622">
        <v>207062508</v>
      </c>
      <c r="B1622" s="1">
        <v>45014</v>
      </c>
      <c r="D1622" t="s">
        <v>7</v>
      </c>
      <c r="E1622">
        <v>39</v>
      </c>
      <c r="F1622" t="s">
        <v>6</v>
      </c>
      <c r="H1622" t="s">
        <v>63</v>
      </c>
      <c r="I1622">
        <v>2023</v>
      </c>
    </row>
    <row r="1623" spans="1:9" x14ac:dyDescent="0.3">
      <c r="A1623">
        <v>206862916</v>
      </c>
      <c r="B1623" s="1">
        <v>45014</v>
      </c>
      <c r="D1623" t="s">
        <v>7</v>
      </c>
      <c r="E1623">
        <v>39</v>
      </c>
      <c r="F1623" t="s">
        <v>6</v>
      </c>
      <c r="H1623" t="s">
        <v>63</v>
      </c>
      <c r="I1623">
        <v>2023</v>
      </c>
    </row>
    <row r="1624" spans="1:9" x14ac:dyDescent="0.3">
      <c r="A1624">
        <v>208706866</v>
      </c>
      <c r="B1624" s="1">
        <v>45014</v>
      </c>
      <c r="D1624" t="s">
        <v>7</v>
      </c>
      <c r="E1624">
        <v>39</v>
      </c>
      <c r="F1624" t="s">
        <v>6</v>
      </c>
      <c r="H1624" t="s">
        <v>63</v>
      </c>
      <c r="I1624">
        <v>2023</v>
      </c>
    </row>
    <row r="1625" spans="1:9" x14ac:dyDescent="0.3">
      <c r="A1625">
        <v>134719816</v>
      </c>
      <c r="B1625" s="1">
        <v>45014</v>
      </c>
      <c r="C1625" s="1">
        <v>45095</v>
      </c>
      <c r="D1625" t="s">
        <v>7</v>
      </c>
      <c r="E1625">
        <v>39</v>
      </c>
      <c r="F1625" t="s">
        <v>6</v>
      </c>
      <c r="G1625" s="19">
        <v>81</v>
      </c>
      <c r="H1625" t="s">
        <v>63</v>
      </c>
      <c r="I1625">
        <v>2023</v>
      </c>
    </row>
    <row r="1626" spans="1:9" x14ac:dyDescent="0.3">
      <c r="A1626">
        <v>138548670</v>
      </c>
      <c r="B1626" s="1">
        <v>45014</v>
      </c>
      <c r="C1626" s="1">
        <v>45076</v>
      </c>
      <c r="D1626" t="s">
        <v>7</v>
      </c>
      <c r="E1626">
        <v>39</v>
      </c>
      <c r="F1626" t="s">
        <v>6</v>
      </c>
      <c r="G1626" s="19">
        <v>62</v>
      </c>
      <c r="H1626" t="s">
        <v>63</v>
      </c>
      <c r="I1626">
        <v>2023</v>
      </c>
    </row>
    <row r="1627" spans="1:9" x14ac:dyDescent="0.3">
      <c r="A1627">
        <v>208745476</v>
      </c>
      <c r="B1627" s="1">
        <v>45014</v>
      </c>
      <c r="C1627" s="1">
        <v>45098</v>
      </c>
      <c r="D1627" t="s">
        <v>7</v>
      </c>
      <c r="E1627">
        <v>39</v>
      </c>
      <c r="F1627" t="s">
        <v>6</v>
      </c>
      <c r="G1627" s="19">
        <v>84</v>
      </c>
      <c r="H1627" t="s">
        <v>63</v>
      </c>
      <c r="I1627">
        <v>2023</v>
      </c>
    </row>
    <row r="1628" spans="1:9" x14ac:dyDescent="0.3">
      <c r="A1628">
        <v>182584521</v>
      </c>
      <c r="B1628" s="1">
        <v>45014</v>
      </c>
      <c r="C1628" s="1">
        <v>45052</v>
      </c>
      <c r="D1628" t="s">
        <v>7</v>
      </c>
      <c r="E1628">
        <v>39</v>
      </c>
      <c r="F1628" t="s">
        <v>6</v>
      </c>
      <c r="G1628" s="19">
        <v>38</v>
      </c>
      <c r="H1628" t="s">
        <v>63</v>
      </c>
      <c r="I1628">
        <v>2023</v>
      </c>
    </row>
    <row r="1629" spans="1:9" x14ac:dyDescent="0.3">
      <c r="A1629">
        <v>206463427</v>
      </c>
      <c r="B1629" s="1">
        <v>45014</v>
      </c>
      <c r="C1629" s="1">
        <v>45050</v>
      </c>
      <c r="D1629" t="s">
        <v>7</v>
      </c>
      <c r="E1629">
        <v>39</v>
      </c>
      <c r="F1629" t="s">
        <v>6</v>
      </c>
      <c r="G1629" s="19">
        <v>36</v>
      </c>
      <c r="H1629" t="s">
        <v>63</v>
      </c>
      <c r="I1629">
        <v>2023</v>
      </c>
    </row>
    <row r="1630" spans="1:9" x14ac:dyDescent="0.3">
      <c r="A1630">
        <v>158947936</v>
      </c>
      <c r="B1630" s="1">
        <v>45014</v>
      </c>
      <c r="C1630" s="1">
        <v>45044</v>
      </c>
      <c r="D1630" t="s">
        <v>7</v>
      </c>
      <c r="E1630">
        <v>39</v>
      </c>
      <c r="F1630" t="s">
        <v>6</v>
      </c>
      <c r="G1630" s="19">
        <v>30</v>
      </c>
      <c r="H1630" t="s">
        <v>63</v>
      </c>
      <c r="I1630">
        <v>2023</v>
      </c>
    </row>
    <row r="1631" spans="1:9" x14ac:dyDescent="0.3">
      <c r="A1631">
        <v>182737296</v>
      </c>
      <c r="B1631" s="1">
        <v>45014</v>
      </c>
      <c r="C1631" s="1">
        <v>45045</v>
      </c>
      <c r="D1631" t="s">
        <v>7</v>
      </c>
      <c r="E1631">
        <v>39</v>
      </c>
      <c r="F1631" t="s">
        <v>6</v>
      </c>
      <c r="G1631" s="19">
        <v>31</v>
      </c>
      <c r="H1631" t="s">
        <v>63</v>
      </c>
      <c r="I1631">
        <v>2023</v>
      </c>
    </row>
    <row r="1632" spans="1:9" x14ac:dyDescent="0.3">
      <c r="A1632">
        <v>156550538</v>
      </c>
      <c r="B1632" s="1">
        <v>45015</v>
      </c>
      <c r="D1632" t="s">
        <v>7</v>
      </c>
      <c r="E1632">
        <v>39</v>
      </c>
      <c r="F1632" t="s">
        <v>6</v>
      </c>
      <c r="H1632" t="s">
        <v>64</v>
      </c>
      <c r="I1632">
        <v>2023</v>
      </c>
    </row>
    <row r="1633" spans="1:9" x14ac:dyDescent="0.3">
      <c r="A1633">
        <v>208897557</v>
      </c>
      <c r="B1633" s="1">
        <v>45015</v>
      </c>
      <c r="D1633" t="s">
        <v>7</v>
      </c>
      <c r="E1633">
        <v>39</v>
      </c>
      <c r="F1633" t="s">
        <v>6</v>
      </c>
      <c r="H1633" t="s">
        <v>64</v>
      </c>
      <c r="I1633">
        <v>2023</v>
      </c>
    </row>
    <row r="1634" spans="1:9" x14ac:dyDescent="0.3">
      <c r="A1634">
        <v>157484010</v>
      </c>
      <c r="B1634" s="1">
        <v>45015</v>
      </c>
      <c r="D1634" t="s">
        <v>7</v>
      </c>
      <c r="E1634">
        <v>39</v>
      </c>
      <c r="F1634" t="s">
        <v>6</v>
      </c>
      <c r="H1634" t="s">
        <v>64</v>
      </c>
      <c r="I1634">
        <v>2023</v>
      </c>
    </row>
    <row r="1635" spans="1:9" x14ac:dyDescent="0.3">
      <c r="A1635">
        <v>146450388</v>
      </c>
      <c r="B1635" s="1">
        <v>45015</v>
      </c>
      <c r="C1635" s="1">
        <v>45083</v>
      </c>
      <c r="D1635" t="s">
        <v>7</v>
      </c>
      <c r="E1635">
        <v>39</v>
      </c>
      <c r="F1635" t="s">
        <v>6</v>
      </c>
      <c r="G1635" s="19">
        <v>68</v>
      </c>
      <c r="H1635" t="s">
        <v>64</v>
      </c>
      <c r="I1635">
        <v>2023</v>
      </c>
    </row>
    <row r="1636" spans="1:9" x14ac:dyDescent="0.3">
      <c r="A1636">
        <v>208610366</v>
      </c>
      <c r="B1636" s="1">
        <v>45015</v>
      </c>
      <c r="C1636" s="1">
        <v>45114</v>
      </c>
      <c r="D1636" t="s">
        <v>7</v>
      </c>
      <c r="E1636">
        <v>39</v>
      </c>
      <c r="F1636" t="s">
        <v>6</v>
      </c>
      <c r="G1636" s="19">
        <v>99</v>
      </c>
      <c r="H1636" t="s">
        <v>64</v>
      </c>
      <c r="I1636">
        <v>2023</v>
      </c>
    </row>
    <row r="1637" spans="1:9" x14ac:dyDescent="0.3">
      <c r="A1637">
        <v>208913022</v>
      </c>
      <c r="B1637" s="1">
        <v>45015</v>
      </c>
      <c r="C1637" s="1">
        <v>45065</v>
      </c>
      <c r="D1637" t="s">
        <v>7</v>
      </c>
      <c r="E1637">
        <v>39</v>
      </c>
      <c r="F1637" t="s">
        <v>6</v>
      </c>
      <c r="G1637" s="19">
        <v>50</v>
      </c>
      <c r="H1637" t="s">
        <v>64</v>
      </c>
      <c r="I1637">
        <v>2023</v>
      </c>
    </row>
    <row r="1638" spans="1:9" x14ac:dyDescent="0.3">
      <c r="A1638">
        <v>205813846</v>
      </c>
      <c r="B1638" s="1">
        <v>45015</v>
      </c>
      <c r="C1638" s="1">
        <v>45065</v>
      </c>
      <c r="D1638" t="s">
        <v>7</v>
      </c>
      <c r="E1638">
        <v>39</v>
      </c>
      <c r="F1638" t="s">
        <v>6</v>
      </c>
      <c r="G1638" s="19">
        <v>50</v>
      </c>
      <c r="H1638" t="s">
        <v>64</v>
      </c>
      <c r="I1638">
        <v>2023</v>
      </c>
    </row>
    <row r="1639" spans="1:9" x14ac:dyDescent="0.3">
      <c r="A1639">
        <v>208762353</v>
      </c>
      <c r="B1639" s="1">
        <v>45015</v>
      </c>
      <c r="C1639" s="1">
        <v>45037</v>
      </c>
      <c r="D1639" t="s">
        <v>7</v>
      </c>
      <c r="E1639">
        <v>39</v>
      </c>
      <c r="F1639" t="s">
        <v>6</v>
      </c>
      <c r="G1639" s="19">
        <v>22</v>
      </c>
      <c r="H1639" t="s">
        <v>64</v>
      </c>
      <c r="I1639">
        <v>2023</v>
      </c>
    </row>
    <row r="1640" spans="1:9" x14ac:dyDescent="0.3">
      <c r="A1640">
        <v>153099249</v>
      </c>
      <c r="B1640" s="1">
        <v>45015</v>
      </c>
      <c r="C1640" s="1">
        <v>45029</v>
      </c>
      <c r="D1640" t="s">
        <v>7</v>
      </c>
      <c r="E1640">
        <v>39</v>
      </c>
      <c r="F1640" t="s">
        <v>6</v>
      </c>
      <c r="G1640" s="19">
        <v>14</v>
      </c>
      <c r="H1640" t="s">
        <v>64</v>
      </c>
      <c r="I1640">
        <v>2023</v>
      </c>
    </row>
    <row r="1641" spans="1:9" x14ac:dyDescent="0.3">
      <c r="A1641">
        <v>208734252</v>
      </c>
      <c r="B1641" s="1">
        <v>45015</v>
      </c>
      <c r="C1641" s="1">
        <v>45046</v>
      </c>
      <c r="D1641" t="s">
        <v>7</v>
      </c>
      <c r="E1641">
        <v>39</v>
      </c>
      <c r="F1641" t="s">
        <v>6</v>
      </c>
      <c r="G1641" s="19">
        <v>31</v>
      </c>
      <c r="H1641" t="s">
        <v>64</v>
      </c>
      <c r="I1641">
        <v>2023</v>
      </c>
    </row>
    <row r="1642" spans="1:9" x14ac:dyDescent="0.3">
      <c r="A1642">
        <v>208320510</v>
      </c>
      <c r="B1642" s="1">
        <v>45016</v>
      </c>
      <c r="D1642" t="s">
        <v>7</v>
      </c>
      <c r="E1642">
        <v>39</v>
      </c>
      <c r="F1642" t="s">
        <v>6</v>
      </c>
      <c r="H1642" t="s">
        <v>65</v>
      </c>
      <c r="I1642">
        <v>2023</v>
      </c>
    </row>
    <row r="1643" spans="1:9" x14ac:dyDescent="0.3">
      <c r="A1643">
        <v>207229509</v>
      </c>
      <c r="B1643" s="1">
        <v>45016</v>
      </c>
      <c r="C1643" s="1">
        <v>45016</v>
      </c>
      <c r="D1643" t="s">
        <v>8</v>
      </c>
      <c r="E1643">
        <v>39</v>
      </c>
      <c r="F1643" t="s">
        <v>6</v>
      </c>
      <c r="G1643" s="19">
        <v>0</v>
      </c>
      <c r="H1643" t="s">
        <v>65</v>
      </c>
      <c r="I1643">
        <v>2023</v>
      </c>
    </row>
    <row r="1644" spans="1:9" x14ac:dyDescent="0.3">
      <c r="A1644">
        <v>208492287</v>
      </c>
      <c r="B1644" s="1">
        <v>45016</v>
      </c>
      <c r="C1644" s="1">
        <v>45084</v>
      </c>
      <c r="D1644" t="s">
        <v>7</v>
      </c>
      <c r="E1644">
        <v>39</v>
      </c>
      <c r="F1644" t="s">
        <v>6</v>
      </c>
      <c r="G1644" s="19">
        <v>68</v>
      </c>
      <c r="H1644" t="s">
        <v>65</v>
      </c>
      <c r="I1644">
        <v>2023</v>
      </c>
    </row>
    <row r="1645" spans="1:9" x14ac:dyDescent="0.3">
      <c r="A1645">
        <v>195047202</v>
      </c>
      <c r="B1645" s="1">
        <v>45016</v>
      </c>
      <c r="C1645" s="1">
        <v>45069</v>
      </c>
      <c r="D1645" t="s">
        <v>7</v>
      </c>
      <c r="E1645">
        <v>39</v>
      </c>
      <c r="F1645" t="s">
        <v>6</v>
      </c>
      <c r="G1645" s="19">
        <v>53</v>
      </c>
      <c r="H1645" t="s">
        <v>65</v>
      </c>
      <c r="I1645">
        <v>2023</v>
      </c>
    </row>
    <row r="1646" spans="1:9" x14ac:dyDescent="0.3">
      <c r="A1646">
        <v>208890352</v>
      </c>
      <c r="B1646" s="1">
        <v>45016</v>
      </c>
      <c r="C1646" s="1">
        <v>45072</v>
      </c>
      <c r="D1646" t="s">
        <v>7</v>
      </c>
      <c r="E1646">
        <v>39</v>
      </c>
      <c r="F1646" t="s">
        <v>6</v>
      </c>
      <c r="G1646" s="19">
        <v>56</v>
      </c>
      <c r="H1646" t="s">
        <v>65</v>
      </c>
      <c r="I1646">
        <v>2023</v>
      </c>
    </row>
    <row r="1647" spans="1:9" x14ac:dyDescent="0.3">
      <c r="A1647">
        <v>151282537</v>
      </c>
      <c r="B1647" s="1">
        <v>45016</v>
      </c>
      <c r="C1647" s="1">
        <v>45108</v>
      </c>
      <c r="D1647" t="s">
        <v>7</v>
      </c>
      <c r="E1647">
        <v>39</v>
      </c>
      <c r="F1647" t="s">
        <v>6</v>
      </c>
      <c r="G1647" s="19">
        <v>92</v>
      </c>
      <c r="H1647" t="s">
        <v>65</v>
      </c>
      <c r="I1647">
        <v>2023</v>
      </c>
    </row>
    <row r="1648" spans="1:9" x14ac:dyDescent="0.3">
      <c r="A1648">
        <v>206625246</v>
      </c>
      <c r="B1648" s="1">
        <v>45017</v>
      </c>
      <c r="D1648" t="s">
        <v>7</v>
      </c>
      <c r="E1648">
        <v>39</v>
      </c>
      <c r="F1648" t="s">
        <v>6</v>
      </c>
      <c r="H1648" t="s">
        <v>66</v>
      </c>
      <c r="I1648">
        <v>2023</v>
      </c>
    </row>
    <row r="1649" spans="1:9" x14ac:dyDescent="0.3">
      <c r="A1649">
        <v>208748964</v>
      </c>
      <c r="B1649" s="1">
        <v>45017</v>
      </c>
      <c r="D1649" t="s">
        <v>7</v>
      </c>
      <c r="E1649">
        <v>39</v>
      </c>
      <c r="F1649" t="s">
        <v>6</v>
      </c>
      <c r="H1649" t="s">
        <v>66</v>
      </c>
      <c r="I1649">
        <v>2023</v>
      </c>
    </row>
    <row r="1650" spans="1:9" x14ac:dyDescent="0.3">
      <c r="A1650">
        <v>151904783</v>
      </c>
      <c r="B1650" s="1">
        <v>45017</v>
      </c>
      <c r="D1650" t="s">
        <v>7</v>
      </c>
      <c r="E1650">
        <v>39</v>
      </c>
      <c r="F1650" t="s">
        <v>6</v>
      </c>
      <c r="H1650" t="s">
        <v>66</v>
      </c>
      <c r="I1650">
        <v>2023</v>
      </c>
    </row>
    <row r="1651" spans="1:9" x14ac:dyDescent="0.3">
      <c r="A1651">
        <v>160351988</v>
      </c>
      <c r="B1651" s="1">
        <v>45017</v>
      </c>
      <c r="C1651" s="1">
        <v>45115</v>
      </c>
      <c r="D1651" t="s">
        <v>7</v>
      </c>
      <c r="E1651">
        <v>39</v>
      </c>
      <c r="F1651" t="s">
        <v>6</v>
      </c>
      <c r="G1651" s="19">
        <v>98</v>
      </c>
      <c r="H1651" t="s">
        <v>66</v>
      </c>
      <c r="I1651">
        <v>2023</v>
      </c>
    </row>
    <row r="1652" spans="1:9" x14ac:dyDescent="0.3">
      <c r="A1652">
        <v>145622106</v>
      </c>
      <c r="B1652" s="1">
        <v>45017</v>
      </c>
      <c r="C1652" s="1">
        <v>45017</v>
      </c>
      <c r="D1652" t="s">
        <v>7</v>
      </c>
      <c r="E1652">
        <v>39</v>
      </c>
      <c r="F1652" t="s">
        <v>6</v>
      </c>
      <c r="G1652" s="19">
        <v>0</v>
      </c>
      <c r="H1652" t="s">
        <v>66</v>
      </c>
      <c r="I1652">
        <v>2023</v>
      </c>
    </row>
    <row r="1653" spans="1:9" x14ac:dyDescent="0.3">
      <c r="A1653">
        <v>192475408</v>
      </c>
      <c r="B1653" s="1">
        <v>45017</v>
      </c>
      <c r="C1653" s="1">
        <v>45042</v>
      </c>
      <c r="D1653" t="s">
        <v>7</v>
      </c>
      <c r="E1653">
        <v>39</v>
      </c>
      <c r="F1653" t="s">
        <v>6</v>
      </c>
      <c r="G1653" s="19">
        <v>25</v>
      </c>
      <c r="H1653" t="s">
        <v>66</v>
      </c>
      <c r="I1653">
        <v>2023</v>
      </c>
    </row>
    <row r="1654" spans="1:9" x14ac:dyDescent="0.3">
      <c r="A1654">
        <v>208597905</v>
      </c>
      <c r="B1654" s="1">
        <v>45018</v>
      </c>
      <c r="D1654" t="s">
        <v>7</v>
      </c>
      <c r="E1654">
        <v>39</v>
      </c>
      <c r="F1654" t="s">
        <v>6</v>
      </c>
      <c r="H1654" t="s">
        <v>60</v>
      </c>
      <c r="I1654">
        <v>2023</v>
      </c>
    </row>
    <row r="1655" spans="1:9" x14ac:dyDescent="0.3">
      <c r="A1655">
        <v>209469556</v>
      </c>
      <c r="B1655" s="1">
        <v>45018</v>
      </c>
      <c r="C1655" s="1">
        <v>45019</v>
      </c>
      <c r="D1655" t="s">
        <v>8</v>
      </c>
      <c r="E1655">
        <v>39</v>
      </c>
      <c r="F1655" t="s">
        <v>6</v>
      </c>
      <c r="G1655" s="19">
        <v>1</v>
      </c>
      <c r="H1655" t="s">
        <v>60</v>
      </c>
      <c r="I1655">
        <v>2023</v>
      </c>
    </row>
    <row r="1656" spans="1:9" x14ac:dyDescent="0.3">
      <c r="A1656">
        <v>207183892</v>
      </c>
      <c r="B1656" s="1">
        <v>45018</v>
      </c>
      <c r="C1656" s="1">
        <v>45019</v>
      </c>
      <c r="D1656" t="s">
        <v>8</v>
      </c>
      <c r="E1656">
        <v>39</v>
      </c>
      <c r="F1656" t="s">
        <v>6</v>
      </c>
      <c r="G1656" s="19">
        <v>1</v>
      </c>
      <c r="H1656" t="s">
        <v>60</v>
      </c>
      <c r="I1656">
        <v>2023</v>
      </c>
    </row>
    <row r="1657" spans="1:9" x14ac:dyDescent="0.3">
      <c r="A1657">
        <v>125980506</v>
      </c>
      <c r="B1657" s="1">
        <v>45018</v>
      </c>
      <c r="C1657" s="1">
        <v>45109</v>
      </c>
      <c r="D1657" t="s">
        <v>7</v>
      </c>
      <c r="E1657">
        <v>39</v>
      </c>
      <c r="F1657" t="s">
        <v>6</v>
      </c>
      <c r="G1657" s="19">
        <v>91</v>
      </c>
      <c r="H1657" t="s">
        <v>60</v>
      </c>
      <c r="I1657">
        <v>2023</v>
      </c>
    </row>
    <row r="1658" spans="1:9" x14ac:dyDescent="0.3">
      <c r="A1658">
        <v>162635107</v>
      </c>
      <c r="B1658" s="1">
        <v>45018</v>
      </c>
      <c r="C1658" s="1">
        <v>45112</v>
      </c>
      <c r="D1658" t="s">
        <v>7</v>
      </c>
      <c r="E1658">
        <v>39</v>
      </c>
      <c r="F1658" t="s">
        <v>6</v>
      </c>
      <c r="G1658" s="19">
        <v>94</v>
      </c>
      <c r="H1658" t="s">
        <v>60</v>
      </c>
      <c r="I1658">
        <v>2023</v>
      </c>
    </row>
    <row r="1659" spans="1:9" x14ac:dyDescent="0.3">
      <c r="A1659">
        <v>154655775</v>
      </c>
      <c r="B1659" s="1">
        <v>45018</v>
      </c>
      <c r="C1659" s="1">
        <v>45131</v>
      </c>
      <c r="D1659" t="s">
        <v>7</v>
      </c>
      <c r="E1659">
        <v>39</v>
      </c>
      <c r="F1659" t="s">
        <v>6</v>
      </c>
      <c r="G1659" s="19">
        <v>113</v>
      </c>
      <c r="H1659" t="s">
        <v>60</v>
      </c>
      <c r="I1659">
        <v>2023</v>
      </c>
    </row>
    <row r="1660" spans="1:9" x14ac:dyDescent="0.3">
      <c r="A1660">
        <v>154911229</v>
      </c>
      <c r="B1660" s="1">
        <v>45019</v>
      </c>
      <c r="D1660" t="s">
        <v>7</v>
      </c>
      <c r="E1660">
        <v>39</v>
      </c>
      <c r="F1660" t="s">
        <v>6</v>
      </c>
      <c r="H1660" t="s">
        <v>61</v>
      </c>
      <c r="I1660">
        <v>2023</v>
      </c>
    </row>
    <row r="1661" spans="1:9" x14ac:dyDescent="0.3">
      <c r="A1661">
        <v>206812076</v>
      </c>
      <c r="B1661" s="1">
        <v>45019</v>
      </c>
      <c r="D1661" t="s">
        <v>7</v>
      </c>
      <c r="E1661">
        <v>39</v>
      </c>
      <c r="F1661" t="s">
        <v>6</v>
      </c>
      <c r="H1661" t="s">
        <v>61</v>
      </c>
      <c r="I1661">
        <v>2023</v>
      </c>
    </row>
    <row r="1662" spans="1:9" x14ac:dyDescent="0.3">
      <c r="A1662">
        <v>208490747</v>
      </c>
      <c r="B1662" s="1">
        <v>45019</v>
      </c>
      <c r="D1662" t="s">
        <v>7</v>
      </c>
      <c r="E1662">
        <v>39</v>
      </c>
      <c r="F1662" t="s">
        <v>6</v>
      </c>
      <c r="H1662" t="s">
        <v>61</v>
      </c>
      <c r="I1662">
        <v>2023</v>
      </c>
    </row>
    <row r="1663" spans="1:9" x14ac:dyDescent="0.3">
      <c r="A1663">
        <v>131761056</v>
      </c>
      <c r="B1663" s="1">
        <v>45019</v>
      </c>
      <c r="D1663" t="s">
        <v>7</v>
      </c>
      <c r="E1663">
        <v>39</v>
      </c>
      <c r="F1663" t="s">
        <v>6</v>
      </c>
      <c r="H1663" t="s">
        <v>61</v>
      </c>
      <c r="I1663">
        <v>2023</v>
      </c>
    </row>
    <row r="1664" spans="1:9" x14ac:dyDescent="0.3">
      <c r="A1664">
        <v>208115534</v>
      </c>
      <c r="B1664" s="1">
        <v>45019</v>
      </c>
      <c r="C1664" s="1">
        <v>45056</v>
      </c>
      <c r="D1664" t="s">
        <v>8</v>
      </c>
      <c r="E1664">
        <v>39</v>
      </c>
      <c r="F1664" t="s">
        <v>6</v>
      </c>
      <c r="G1664" s="19">
        <v>37</v>
      </c>
      <c r="H1664" t="s">
        <v>61</v>
      </c>
      <c r="I1664">
        <v>2023</v>
      </c>
    </row>
    <row r="1665" spans="1:9" x14ac:dyDescent="0.3">
      <c r="A1665">
        <v>202126471</v>
      </c>
      <c r="B1665" s="1">
        <v>45019</v>
      </c>
      <c r="C1665" s="1">
        <v>45104</v>
      </c>
      <c r="D1665" t="s">
        <v>7</v>
      </c>
      <c r="E1665">
        <v>39</v>
      </c>
      <c r="F1665" t="s">
        <v>6</v>
      </c>
      <c r="G1665" s="19">
        <v>85</v>
      </c>
      <c r="H1665" t="s">
        <v>61</v>
      </c>
      <c r="I1665">
        <v>2023</v>
      </c>
    </row>
    <row r="1666" spans="1:9" x14ac:dyDescent="0.3">
      <c r="A1666">
        <v>209738836</v>
      </c>
      <c r="B1666" s="1">
        <v>45019</v>
      </c>
      <c r="C1666" s="1">
        <v>45060</v>
      </c>
      <c r="D1666" t="s">
        <v>7</v>
      </c>
      <c r="E1666">
        <v>39</v>
      </c>
      <c r="F1666" t="s">
        <v>6</v>
      </c>
      <c r="G1666" s="19">
        <v>41</v>
      </c>
      <c r="H1666" t="s">
        <v>61</v>
      </c>
      <c r="I1666">
        <v>2023</v>
      </c>
    </row>
    <row r="1667" spans="1:9" x14ac:dyDescent="0.3">
      <c r="A1667">
        <v>209470128</v>
      </c>
      <c r="B1667" s="1">
        <v>45019</v>
      </c>
      <c r="C1667" s="1">
        <v>45076</v>
      </c>
      <c r="D1667" t="s">
        <v>7</v>
      </c>
      <c r="E1667">
        <v>39</v>
      </c>
      <c r="F1667" t="s">
        <v>6</v>
      </c>
      <c r="G1667" s="19">
        <v>57</v>
      </c>
      <c r="H1667" t="s">
        <v>61</v>
      </c>
      <c r="I1667">
        <v>2023</v>
      </c>
    </row>
    <row r="1668" spans="1:9" x14ac:dyDescent="0.3">
      <c r="A1668">
        <v>209745334</v>
      </c>
      <c r="B1668" s="1">
        <v>45019</v>
      </c>
      <c r="C1668" s="1">
        <v>45170</v>
      </c>
      <c r="D1668" t="s">
        <v>7</v>
      </c>
      <c r="E1668">
        <v>39</v>
      </c>
      <c r="F1668" t="s">
        <v>6</v>
      </c>
      <c r="G1668" s="19">
        <v>151</v>
      </c>
      <c r="H1668" t="s">
        <v>61</v>
      </c>
      <c r="I1668">
        <v>2023</v>
      </c>
    </row>
    <row r="1669" spans="1:9" x14ac:dyDescent="0.3">
      <c r="A1669">
        <v>209751690</v>
      </c>
      <c r="B1669" s="1">
        <v>45020</v>
      </c>
      <c r="D1669" t="s">
        <v>7</v>
      </c>
      <c r="E1669">
        <v>39</v>
      </c>
      <c r="F1669" t="s">
        <v>6</v>
      </c>
      <c r="H1669" t="s">
        <v>62</v>
      </c>
      <c r="I1669">
        <v>2023</v>
      </c>
    </row>
    <row r="1670" spans="1:9" x14ac:dyDescent="0.3">
      <c r="A1670">
        <v>209730490</v>
      </c>
      <c r="B1670" s="1">
        <v>45020</v>
      </c>
      <c r="C1670" s="1">
        <v>45021</v>
      </c>
      <c r="D1670" t="s">
        <v>8</v>
      </c>
      <c r="E1670">
        <v>39</v>
      </c>
      <c r="F1670" t="s">
        <v>6</v>
      </c>
      <c r="G1670" s="19">
        <v>1</v>
      </c>
      <c r="H1670" t="s">
        <v>62</v>
      </c>
      <c r="I1670">
        <v>2023</v>
      </c>
    </row>
    <row r="1671" spans="1:9" x14ac:dyDescent="0.3">
      <c r="A1671">
        <v>208115648</v>
      </c>
      <c r="B1671" s="1">
        <v>45020</v>
      </c>
      <c r="C1671" s="1">
        <v>45082</v>
      </c>
      <c r="D1671" t="s">
        <v>7</v>
      </c>
      <c r="E1671">
        <v>39</v>
      </c>
      <c r="F1671" t="s">
        <v>6</v>
      </c>
      <c r="G1671" s="19">
        <v>62</v>
      </c>
      <c r="H1671" t="s">
        <v>62</v>
      </c>
      <c r="I1671">
        <v>2023</v>
      </c>
    </row>
    <row r="1672" spans="1:9" x14ac:dyDescent="0.3">
      <c r="A1672">
        <v>210087900</v>
      </c>
      <c r="B1672" s="1">
        <v>45020</v>
      </c>
      <c r="C1672" s="1">
        <v>45054</v>
      </c>
      <c r="D1672" t="s">
        <v>7</v>
      </c>
      <c r="E1672">
        <v>39</v>
      </c>
      <c r="F1672" t="s">
        <v>6</v>
      </c>
      <c r="G1672" s="19">
        <v>34</v>
      </c>
      <c r="H1672" t="s">
        <v>62</v>
      </c>
      <c r="I1672">
        <v>2023</v>
      </c>
    </row>
    <row r="1673" spans="1:9" x14ac:dyDescent="0.3">
      <c r="A1673">
        <v>208890316</v>
      </c>
      <c r="B1673" s="1">
        <v>45020</v>
      </c>
      <c r="C1673" s="1">
        <v>45070</v>
      </c>
      <c r="D1673" t="s">
        <v>7</v>
      </c>
      <c r="E1673">
        <v>39</v>
      </c>
      <c r="F1673" t="s">
        <v>6</v>
      </c>
      <c r="G1673" s="19">
        <v>50</v>
      </c>
      <c r="H1673" t="s">
        <v>62</v>
      </c>
      <c r="I1673">
        <v>2023</v>
      </c>
    </row>
    <row r="1674" spans="1:9" x14ac:dyDescent="0.3">
      <c r="A1674">
        <v>143706140</v>
      </c>
      <c r="B1674" s="1">
        <v>45020</v>
      </c>
      <c r="C1674" s="1">
        <v>45023</v>
      </c>
      <c r="D1674" t="s">
        <v>7</v>
      </c>
      <c r="E1674">
        <v>39</v>
      </c>
      <c r="F1674" t="s">
        <v>6</v>
      </c>
      <c r="G1674" s="19">
        <v>3</v>
      </c>
      <c r="H1674" t="s">
        <v>62</v>
      </c>
      <c r="I1674">
        <v>2023</v>
      </c>
    </row>
    <row r="1675" spans="1:9" x14ac:dyDescent="0.3">
      <c r="A1675">
        <v>209950443</v>
      </c>
      <c r="B1675" s="1">
        <v>45020</v>
      </c>
      <c r="C1675" s="1">
        <v>45030</v>
      </c>
      <c r="D1675" t="s">
        <v>7</v>
      </c>
      <c r="E1675">
        <v>39</v>
      </c>
      <c r="F1675" t="s">
        <v>6</v>
      </c>
      <c r="G1675" s="19">
        <v>10</v>
      </c>
      <c r="H1675" t="s">
        <v>62</v>
      </c>
      <c r="I1675">
        <v>2023</v>
      </c>
    </row>
    <row r="1676" spans="1:9" x14ac:dyDescent="0.3">
      <c r="A1676">
        <v>208892072</v>
      </c>
      <c r="B1676" s="1">
        <v>45020</v>
      </c>
      <c r="C1676" s="1">
        <v>45041</v>
      </c>
      <c r="D1676" t="s">
        <v>7</v>
      </c>
      <c r="E1676">
        <v>39</v>
      </c>
      <c r="F1676" t="s">
        <v>6</v>
      </c>
      <c r="G1676" s="19">
        <v>21</v>
      </c>
      <c r="H1676" t="s">
        <v>62</v>
      </c>
      <c r="I1676">
        <v>2023</v>
      </c>
    </row>
    <row r="1677" spans="1:9" x14ac:dyDescent="0.3">
      <c r="A1677">
        <v>205767174</v>
      </c>
      <c r="B1677" s="1">
        <v>45020</v>
      </c>
      <c r="C1677" s="1">
        <v>45150</v>
      </c>
      <c r="D1677" t="s">
        <v>7</v>
      </c>
      <c r="E1677">
        <v>39</v>
      </c>
      <c r="F1677" t="s">
        <v>6</v>
      </c>
      <c r="G1677" s="19">
        <v>130</v>
      </c>
      <c r="H1677" t="s">
        <v>62</v>
      </c>
      <c r="I1677">
        <v>2023</v>
      </c>
    </row>
    <row r="1678" spans="1:9" x14ac:dyDescent="0.3">
      <c r="A1678">
        <v>206676416</v>
      </c>
      <c r="B1678" s="1">
        <v>45020</v>
      </c>
      <c r="C1678" s="1">
        <v>45124</v>
      </c>
      <c r="D1678" t="s">
        <v>7</v>
      </c>
      <c r="E1678">
        <v>39</v>
      </c>
      <c r="F1678" t="s">
        <v>6</v>
      </c>
      <c r="G1678" s="19">
        <v>104</v>
      </c>
      <c r="H1678" t="s">
        <v>62</v>
      </c>
      <c r="I1678">
        <v>2023</v>
      </c>
    </row>
    <row r="1679" spans="1:9" x14ac:dyDescent="0.3">
      <c r="A1679">
        <v>160676837</v>
      </c>
      <c r="B1679" s="1">
        <v>45021</v>
      </c>
      <c r="D1679" t="s">
        <v>7</v>
      </c>
      <c r="E1679">
        <v>39</v>
      </c>
      <c r="F1679" t="s">
        <v>6</v>
      </c>
      <c r="H1679" t="s">
        <v>63</v>
      </c>
      <c r="I1679">
        <v>2023</v>
      </c>
    </row>
    <row r="1680" spans="1:9" x14ac:dyDescent="0.3">
      <c r="A1680">
        <v>204274153</v>
      </c>
      <c r="B1680" s="1">
        <v>45021</v>
      </c>
      <c r="D1680" t="s">
        <v>7</v>
      </c>
      <c r="E1680">
        <v>39</v>
      </c>
      <c r="F1680" t="s">
        <v>6</v>
      </c>
      <c r="H1680" t="s">
        <v>63</v>
      </c>
      <c r="I1680">
        <v>2023</v>
      </c>
    </row>
    <row r="1681" spans="1:9" x14ac:dyDescent="0.3">
      <c r="A1681">
        <v>210327236</v>
      </c>
      <c r="B1681" s="1">
        <v>45021</v>
      </c>
      <c r="C1681" s="1">
        <v>45022</v>
      </c>
      <c r="D1681" t="s">
        <v>8</v>
      </c>
      <c r="E1681">
        <v>39</v>
      </c>
      <c r="F1681" t="s">
        <v>6</v>
      </c>
      <c r="G1681" s="19">
        <v>1</v>
      </c>
      <c r="H1681" t="s">
        <v>63</v>
      </c>
      <c r="I1681">
        <v>2023</v>
      </c>
    </row>
    <row r="1682" spans="1:9" x14ac:dyDescent="0.3">
      <c r="A1682">
        <v>210326352</v>
      </c>
      <c r="B1682" s="1">
        <v>45021</v>
      </c>
      <c r="C1682" s="1">
        <v>45021</v>
      </c>
      <c r="D1682" t="s">
        <v>8</v>
      </c>
      <c r="E1682">
        <v>39</v>
      </c>
      <c r="F1682" t="s">
        <v>6</v>
      </c>
      <c r="G1682" s="19">
        <v>0</v>
      </c>
      <c r="H1682" t="s">
        <v>63</v>
      </c>
      <c r="I1682">
        <v>2023</v>
      </c>
    </row>
    <row r="1683" spans="1:9" x14ac:dyDescent="0.3">
      <c r="A1683">
        <v>124155104</v>
      </c>
      <c r="B1683" s="1">
        <v>45021</v>
      </c>
      <c r="C1683" s="1">
        <v>45058</v>
      </c>
      <c r="D1683" t="s">
        <v>7</v>
      </c>
      <c r="E1683">
        <v>39</v>
      </c>
      <c r="F1683" t="s">
        <v>6</v>
      </c>
      <c r="G1683" s="19">
        <v>37</v>
      </c>
      <c r="H1683" t="s">
        <v>63</v>
      </c>
      <c r="I1683">
        <v>2023</v>
      </c>
    </row>
    <row r="1684" spans="1:9" x14ac:dyDescent="0.3">
      <c r="A1684">
        <v>209517408</v>
      </c>
      <c r="B1684" s="1">
        <v>45021</v>
      </c>
      <c r="C1684" s="1">
        <v>45050</v>
      </c>
      <c r="D1684" t="s">
        <v>7</v>
      </c>
      <c r="E1684">
        <v>39</v>
      </c>
      <c r="F1684" t="s">
        <v>6</v>
      </c>
      <c r="G1684" s="19">
        <v>29</v>
      </c>
      <c r="H1684" t="s">
        <v>63</v>
      </c>
      <c r="I1684">
        <v>2023</v>
      </c>
    </row>
    <row r="1685" spans="1:9" x14ac:dyDescent="0.3">
      <c r="A1685">
        <v>210432450</v>
      </c>
      <c r="B1685" s="1">
        <v>45021</v>
      </c>
      <c r="C1685" s="1">
        <v>45028</v>
      </c>
      <c r="D1685" t="s">
        <v>7</v>
      </c>
      <c r="E1685">
        <v>39</v>
      </c>
      <c r="F1685" t="s">
        <v>6</v>
      </c>
      <c r="G1685" s="19">
        <v>7</v>
      </c>
      <c r="H1685" t="s">
        <v>63</v>
      </c>
      <c r="I1685">
        <v>2023</v>
      </c>
    </row>
    <row r="1686" spans="1:9" x14ac:dyDescent="0.3">
      <c r="A1686">
        <v>210138564</v>
      </c>
      <c r="B1686" s="1">
        <v>45022</v>
      </c>
      <c r="D1686" t="s">
        <v>7</v>
      </c>
      <c r="E1686">
        <v>39</v>
      </c>
      <c r="F1686" t="s">
        <v>6</v>
      </c>
      <c r="H1686" t="s">
        <v>64</v>
      </c>
      <c r="I1686">
        <v>2023</v>
      </c>
    </row>
    <row r="1687" spans="1:9" x14ac:dyDescent="0.3">
      <c r="A1687">
        <v>210617010</v>
      </c>
      <c r="B1687" s="1">
        <v>45022</v>
      </c>
      <c r="C1687" s="1">
        <v>45022</v>
      </c>
      <c r="D1687" t="s">
        <v>7</v>
      </c>
      <c r="E1687">
        <v>39</v>
      </c>
      <c r="F1687" t="s">
        <v>6</v>
      </c>
      <c r="G1687" s="19">
        <v>0</v>
      </c>
      <c r="H1687" t="s">
        <v>64</v>
      </c>
      <c r="I1687">
        <v>2023</v>
      </c>
    </row>
    <row r="1688" spans="1:9" x14ac:dyDescent="0.3">
      <c r="A1688">
        <v>134894187</v>
      </c>
      <c r="B1688" s="1">
        <v>45022</v>
      </c>
      <c r="C1688" s="1">
        <v>45064</v>
      </c>
      <c r="D1688" t="s">
        <v>7</v>
      </c>
      <c r="E1688">
        <v>39</v>
      </c>
      <c r="F1688" t="s">
        <v>6</v>
      </c>
      <c r="G1688" s="19">
        <v>42</v>
      </c>
      <c r="H1688" t="s">
        <v>64</v>
      </c>
      <c r="I1688">
        <v>2023</v>
      </c>
    </row>
    <row r="1689" spans="1:9" x14ac:dyDescent="0.3">
      <c r="A1689">
        <v>150643785</v>
      </c>
      <c r="B1689" s="1">
        <v>45022</v>
      </c>
      <c r="C1689" s="1">
        <v>45083</v>
      </c>
      <c r="D1689" t="s">
        <v>7</v>
      </c>
      <c r="E1689">
        <v>39</v>
      </c>
      <c r="F1689" t="s">
        <v>6</v>
      </c>
      <c r="G1689" s="19">
        <v>61</v>
      </c>
      <c r="H1689" t="s">
        <v>64</v>
      </c>
      <c r="I1689">
        <v>2023</v>
      </c>
    </row>
    <row r="1690" spans="1:9" x14ac:dyDescent="0.3">
      <c r="A1690">
        <v>149986782</v>
      </c>
      <c r="B1690" s="1">
        <v>45022</v>
      </c>
      <c r="C1690" s="1">
        <v>45081</v>
      </c>
      <c r="D1690" t="s">
        <v>7</v>
      </c>
      <c r="E1690">
        <v>39</v>
      </c>
      <c r="F1690" t="s">
        <v>6</v>
      </c>
      <c r="G1690" s="19">
        <v>59</v>
      </c>
      <c r="H1690" t="s">
        <v>64</v>
      </c>
      <c r="I1690">
        <v>2023</v>
      </c>
    </row>
    <row r="1691" spans="1:9" x14ac:dyDescent="0.3">
      <c r="A1691">
        <v>205463099</v>
      </c>
      <c r="B1691" s="1">
        <v>45022</v>
      </c>
      <c r="C1691" s="1">
        <v>45093</v>
      </c>
      <c r="D1691" t="s">
        <v>7</v>
      </c>
      <c r="E1691">
        <v>39</v>
      </c>
      <c r="F1691" t="s">
        <v>6</v>
      </c>
      <c r="G1691" s="19">
        <v>71</v>
      </c>
      <c r="H1691" t="s">
        <v>64</v>
      </c>
      <c r="I1691">
        <v>2023</v>
      </c>
    </row>
    <row r="1692" spans="1:9" x14ac:dyDescent="0.3">
      <c r="A1692">
        <v>210565466</v>
      </c>
      <c r="B1692" s="1">
        <v>45022</v>
      </c>
      <c r="C1692" s="1">
        <v>45059</v>
      </c>
      <c r="D1692" t="s">
        <v>7</v>
      </c>
      <c r="E1692">
        <v>39</v>
      </c>
      <c r="F1692" t="s">
        <v>6</v>
      </c>
      <c r="G1692" s="19">
        <v>37</v>
      </c>
      <c r="H1692" t="s">
        <v>64</v>
      </c>
      <c r="I1692">
        <v>2023</v>
      </c>
    </row>
    <row r="1693" spans="1:9" x14ac:dyDescent="0.3">
      <c r="A1693">
        <v>209072132</v>
      </c>
      <c r="B1693" s="1">
        <v>45023</v>
      </c>
      <c r="D1693" t="s">
        <v>7</v>
      </c>
      <c r="E1693">
        <v>39</v>
      </c>
      <c r="F1693" t="s">
        <v>6</v>
      </c>
      <c r="H1693" t="s">
        <v>65</v>
      </c>
      <c r="I1693">
        <v>2023</v>
      </c>
    </row>
    <row r="1694" spans="1:9" x14ac:dyDescent="0.3">
      <c r="A1694">
        <v>210388772</v>
      </c>
      <c r="B1694" s="1">
        <v>45023</v>
      </c>
      <c r="D1694" t="s">
        <v>7</v>
      </c>
      <c r="E1694">
        <v>39</v>
      </c>
      <c r="F1694" t="s">
        <v>6</v>
      </c>
      <c r="H1694" t="s">
        <v>65</v>
      </c>
      <c r="I1694">
        <v>2023</v>
      </c>
    </row>
    <row r="1695" spans="1:9" x14ac:dyDescent="0.3">
      <c r="A1695">
        <v>210617010</v>
      </c>
      <c r="B1695" s="1">
        <v>45023</v>
      </c>
      <c r="C1695" s="1">
        <v>45086</v>
      </c>
      <c r="D1695" t="s">
        <v>7</v>
      </c>
      <c r="E1695">
        <v>39</v>
      </c>
      <c r="F1695" t="s">
        <v>6</v>
      </c>
      <c r="G1695" s="19">
        <v>63</v>
      </c>
      <c r="H1695" t="s">
        <v>65</v>
      </c>
      <c r="I1695">
        <v>2023</v>
      </c>
    </row>
    <row r="1696" spans="1:9" x14ac:dyDescent="0.3">
      <c r="A1696">
        <v>210694562</v>
      </c>
      <c r="B1696" s="1">
        <v>45023</v>
      </c>
      <c r="C1696" s="1">
        <v>45060</v>
      </c>
      <c r="D1696" t="s">
        <v>7</v>
      </c>
      <c r="E1696">
        <v>39</v>
      </c>
      <c r="F1696" t="s">
        <v>6</v>
      </c>
      <c r="G1696" s="19">
        <v>37</v>
      </c>
      <c r="H1696" t="s">
        <v>65</v>
      </c>
      <c r="I1696">
        <v>2023</v>
      </c>
    </row>
    <row r="1697" spans="1:9" x14ac:dyDescent="0.3">
      <c r="A1697">
        <v>134833306</v>
      </c>
      <c r="B1697" s="1">
        <v>45023</v>
      </c>
      <c r="C1697" s="1">
        <v>45054</v>
      </c>
      <c r="D1697" t="s">
        <v>7</v>
      </c>
      <c r="E1697">
        <v>39</v>
      </c>
      <c r="F1697" t="s">
        <v>6</v>
      </c>
      <c r="G1697" s="19">
        <v>31</v>
      </c>
      <c r="H1697" t="s">
        <v>65</v>
      </c>
      <c r="I1697">
        <v>2023</v>
      </c>
    </row>
    <row r="1698" spans="1:9" x14ac:dyDescent="0.3">
      <c r="A1698">
        <v>211220014</v>
      </c>
      <c r="B1698" s="1">
        <v>45024</v>
      </c>
      <c r="D1698" t="s">
        <v>7</v>
      </c>
      <c r="E1698">
        <v>39</v>
      </c>
      <c r="F1698" t="s">
        <v>6</v>
      </c>
      <c r="H1698" t="s">
        <v>66</v>
      </c>
      <c r="I1698">
        <v>2023</v>
      </c>
    </row>
    <row r="1699" spans="1:9" x14ac:dyDescent="0.3">
      <c r="A1699">
        <v>121571816</v>
      </c>
      <c r="B1699" s="1">
        <v>45024</v>
      </c>
      <c r="D1699" t="s">
        <v>7</v>
      </c>
      <c r="E1699">
        <v>39</v>
      </c>
      <c r="F1699" t="s">
        <v>6</v>
      </c>
      <c r="H1699" t="s">
        <v>66</v>
      </c>
      <c r="I1699">
        <v>2023</v>
      </c>
    </row>
    <row r="1700" spans="1:9" x14ac:dyDescent="0.3">
      <c r="A1700">
        <v>211216060</v>
      </c>
      <c r="B1700" s="1">
        <v>45024</v>
      </c>
      <c r="D1700" t="s">
        <v>7</v>
      </c>
      <c r="E1700">
        <v>39</v>
      </c>
      <c r="F1700" t="s">
        <v>6</v>
      </c>
      <c r="H1700" t="s">
        <v>66</v>
      </c>
      <c r="I1700">
        <v>2023</v>
      </c>
    </row>
    <row r="1701" spans="1:9" x14ac:dyDescent="0.3">
      <c r="A1701">
        <v>211114276</v>
      </c>
      <c r="B1701" s="1">
        <v>45024</v>
      </c>
      <c r="D1701" t="s">
        <v>7</v>
      </c>
      <c r="E1701">
        <v>39</v>
      </c>
      <c r="F1701" t="s">
        <v>6</v>
      </c>
      <c r="H1701" t="s">
        <v>66</v>
      </c>
      <c r="I1701">
        <v>2023</v>
      </c>
    </row>
    <row r="1702" spans="1:9" x14ac:dyDescent="0.3">
      <c r="A1702">
        <v>211224883</v>
      </c>
      <c r="B1702" s="1">
        <v>45024</v>
      </c>
      <c r="C1702" s="1">
        <v>45025</v>
      </c>
      <c r="D1702" t="s">
        <v>8</v>
      </c>
      <c r="E1702">
        <v>39</v>
      </c>
      <c r="F1702" t="s">
        <v>6</v>
      </c>
      <c r="G1702" s="19">
        <v>1</v>
      </c>
      <c r="H1702" t="s">
        <v>66</v>
      </c>
      <c r="I1702">
        <v>2023</v>
      </c>
    </row>
    <row r="1703" spans="1:9" x14ac:dyDescent="0.3">
      <c r="A1703">
        <v>211212313</v>
      </c>
      <c r="B1703" s="1">
        <v>45024</v>
      </c>
      <c r="C1703" s="1">
        <v>45083</v>
      </c>
      <c r="D1703" t="s">
        <v>7</v>
      </c>
      <c r="E1703">
        <v>39</v>
      </c>
      <c r="F1703" t="s">
        <v>6</v>
      </c>
      <c r="G1703" s="19">
        <v>59</v>
      </c>
      <c r="H1703" t="s">
        <v>66</v>
      </c>
      <c r="I1703">
        <v>2023</v>
      </c>
    </row>
    <row r="1704" spans="1:9" x14ac:dyDescent="0.3">
      <c r="A1704">
        <v>210135815</v>
      </c>
      <c r="B1704" s="1">
        <v>45024</v>
      </c>
      <c r="C1704" s="1">
        <v>45034</v>
      </c>
      <c r="D1704" t="s">
        <v>7</v>
      </c>
      <c r="E1704">
        <v>39</v>
      </c>
      <c r="F1704" t="s">
        <v>6</v>
      </c>
      <c r="G1704" s="19">
        <v>10</v>
      </c>
      <c r="H1704" t="s">
        <v>66</v>
      </c>
      <c r="I1704">
        <v>2023</v>
      </c>
    </row>
    <row r="1705" spans="1:9" x14ac:dyDescent="0.3">
      <c r="A1705">
        <v>211381659</v>
      </c>
      <c r="B1705" s="1">
        <v>45025</v>
      </c>
      <c r="D1705" t="s">
        <v>7</v>
      </c>
      <c r="E1705">
        <v>39</v>
      </c>
      <c r="F1705" t="s">
        <v>6</v>
      </c>
      <c r="H1705" t="s">
        <v>60</v>
      </c>
      <c r="I1705">
        <v>2023</v>
      </c>
    </row>
    <row r="1706" spans="1:9" x14ac:dyDescent="0.3">
      <c r="A1706">
        <v>183363812</v>
      </c>
      <c r="B1706" s="1">
        <v>45025</v>
      </c>
      <c r="D1706" t="s">
        <v>7</v>
      </c>
      <c r="E1706">
        <v>39</v>
      </c>
      <c r="F1706" t="s">
        <v>6</v>
      </c>
      <c r="H1706" t="s">
        <v>60</v>
      </c>
      <c r="I1706">
        <v>2023</v>
      </c>
    </row>
    <row r="1707" spans="1:9" x14ac:dyDescent="0.3">
      <c r="A1707">
        <v>211289909</v>
      </c>
      <c r="B1707" s="1">
        <v>45025</v>
      </c>
      <c r="D1707" t="s">
        <v>7</v>
      </c>
      <c r="E1707">
        <v>39</v>
      </c>
      <c r="F1707" t="s">
        <v>6</v>
      </c>
      <c r="H1707" t="s">
        <v>60</v>
      </c>
      <c r="I1707">
        <v>2023</v>
      </c>
    </row>
    <row r="1708" spans="1:9" x14ac:dyDescent="0.3">
      <c r="A1708">
        <v>211266858</v>
      </c>
      <c r="B1708" s="1">
        <v>45025</v>
      </c>
      <c r="C1708" s="1">
        <v>45048</v>
      </c>
      <c r="D1708" t="s">
        <v>7</v>
      </c>
      <c r="E1708">
        <v>39</v>
      </c>
      <c r="F1708" t="s">
        <v>6</v>
      </c>
      <c r="G1708" s="19">
        <v>23</v>
      </c>
      <c r="H1708" t="s">
        <v>60</v>
      </c>
      <c r="I1708">
        <v>2023</v>
      </c>
    </row>
    <row r="1709" spans="1:9" x14ac:dyDescent="0.3">
      <c r="A1709">
        <v>153163612</v>
      </c>
      <c r="B1709" s="1">
        <v>45025</v>
      </c>
      <c r="C1709" s="1">
        <v>45040</v>
      </c>
      <c r="D1709" t="s">
        <v>7</v>
      </c>
      <c r="E1709">
        <v>39</v>
      </c>
      <c r="F1709" t="s">
        <v>6</v>
      </c>
      <c r="G1709" s="19">
        <v>15</v>
      </c>
      <c r="H1709" t="s">
        <v>60</v>
      </c>
      <c r="I1709">
        <v>2023</v>
      </c>
    </row>
    <row r="1710" spans="1:9" x14ac:dyDescent="0.3">
      <c r="A1710">
        <v>209505551</v>
      </c>
      <c r="B1710" s="1">
        <v>45025</v>
      </c>
      <c r="C1710" s="1">
        <v>45041</v>
      </c>
      <c r="D1710" t="s">
        <v>7</v>
      </c>
      <c r="E1710">
        <v>39</v>
      </c>
      <c r="F1710" t="s">
        <v>6</v>
      </c>
      <c r="G1710" s="19">
        <v>16</v>
      </c>
      <c r="H1710" t="s">
        <v>60</v>
      </c>
      <c r="I1710">
        <v>2023</v>
      </c>
    </row>
    <row r="1711" spans="1:9" x14ac:dyDescent="0.3">
      <c r="A1711">
        <v>211389716</v>
      </c>
      <c r="B1711" s="1">
        <v>45026</v>
      </c>
      <c r="D1711" t="s">
        <v>7</v>
      </c>
      <c r="E1711">
        <v>39</v>
      </c>
      <c r="F1711" t="s">
        <v>6</v>
      </c>
      <c r="H1711" t="s">
        <v>61</v>
      </c>
      <c r="I1711">
        <v>2023</v>
      </c>
    </row>
    <row r="1712" spans="1:9" x14ac:dyDescent="0.3">
      <c r="A1712">
        <v>211636708</v>
      </c>
      <c r="B1712" s="1">
        <v>45026</v>
      </c>
      <c r="D1712" t="s">
        <v>7</v>
      </c>
      <c r="E1712">
        <v>39</v>
      </c>
      <c r="F1712" t="s">
        <v>6</v>
      </c>
      <c r="H1712" t="s">
        <v>61</v>
      </c>
      <c r="I1712">
        <v>2023</v>
      </c>
    </row>
    <row r="1713" spans="1:9" x14ac:dyDescent="0.3">
      <c r="A1713">
        <v>176884824</v>
      </c>
      <c r="B1713" s="1">
        <v>45026</v>
      </c>
      <c r="D1713" t="s">
        <v>7</v>
      </c>
      <c r="E1713">
        <v>39</v>
      </c>
      <c r="F1713" t="s">
        <v>6</v>
      </c>
      <c r="H1713" t="s">
        <v>61</v>
      </c>
      <c r="I1713">
        <v>2023</v>
      </c>
    </row>
    <row r="1714" spans="1:9" x14ac:dyDescent="0.3">
      <c r="A1714">
        <v>211352758</v>
      </c>
      <c r="B1714" s="1">
        <v>45026</v>
      </c>
      <c r="D1714" t="s">
        <v>7</v>
      </c>
      <c r="E1714">
        <v>39</v>
      </c>
      <c r="F1714" t="s">
        <v>6</v>
      </c>
      <c r="H1714" t="s">
        <v>61</v>
      </c>
      <c r="I1714">
        <v>2023</v>
      </c>
    </row>
    <row r="1715" spans="1:9" x14ac:dyDescent="0.3">
      <c r="A1715">
        <v>210814163</v>
      </c>
      <c r="B1715" s="1">
        <v>45026</v>
      </c>
      <c r="D1715" t="s">
        <v>7</v>
      </c>
      <c r="E1715">
        <v>39</v>
      </c>
      <c r="F1715" t="s">
        <v>6</v>
      </c>
      <c r="H1715" t="s">
        <v>61</v>
      </c>
      <c r="I1715">
        <v>2023</v>
      </c>
    </row>
    <row r="1716" spans="1:9" x14ac:dyDescent="0.3">
      <c r="A1716">
        <v>210893245</v>
      </c>
      <c r="B1716" s="1">
        <v>45026</v>
      </c>
      <c r="D1716" t="s">
        <v>7</v>
      </c>
      <c r="E1716">
        <v>39</v>
      </c>
      <c r="F1716" t="s">
        <v>6</v>
      </c>
      <c r="H1716" t="s">
        <v>61</v>
      </c>
      <c r="I1716">
        <v>2023</v>
      </c>
    </row>
    <row r="1717" spans="1:9" x14ac:dyDescent="0.3">
      <c r="A1717">
        <v>130967112</v>
      </c>
      <c r="B1717" s="1">
        <v>45026</v>
      </c>
      <c r="D1717" t="s">
        <v>7</v>
      </c>
      <c r="E1717">
        <v>39</v>
      </c>
      <c r="F1717" t="s">
        <v>6</v>
      </c>
      <c r="H1717" t="s">
        <v>61</v>
      </c>
      <c r="I1717">
        <v>2023</v>
      </c>
    </row>
    <row r="1718" spans="1:9" x14ac:dyDescent="0.3">
      <c r="A1718">
        <v>199116000</v>
      </c>
      <c r="B1718" s="1">
        <v>45026</v>
      </c>
      <c r="D1718" t="s">
        <v>7</v>
      </c>
      <c r="E1718">
        <v>39</v>
      </c>
      <c r="F1718" t="s">
        <v>6</v>
      </c>
      <c r="H1718" t="s">
        <v>61</v>
      </c>
      <c r="I1718">
        <v>2023</v>
      </c>
    </row>
    <row r="1719" spans="1:9" x14ac:dyDescent="0.3">
      <c r="A1719">
        <v>161182706</v>
      </c>
      <c r="B1719" s="1">
        <v>45026</v>
      </c>
      <c r="C1719" s="1">
        <v>45063</v>
      </c>
      <c r="D1719" t="s">
        <v>7</v>
      </c>
      <c r="E1719">
        <v>39</v>
      </c>
      <c r="F1719" t="s">
        <v>6</v>
      </c>
      <c r="G1719" s="19">
        <v>37</v>
      </c>
      <c r="H1719" t="s">
        <v>61</v>
      </c>
      <c r="I1719">
        <v>2023</v>
      </c>
    </row>
    <row r="1720" spans="1:9" x14ac:dyDescent="0.3">
      <c r="A1720">
        <v>211576047</v>
      </c>
      <c r="B1720" s="1">
        <v>45027</v>
      </c>
      <c r="D1720" t="s">
        <v>7</v>
      </c>
      <c r="E1720">
        <v>39</v>
      </c>
      <c r="F1720" t="s">
        <v>6</v>
      </c>
      <c r="H1720" t="s">
        <v>62</v>
      </c>
      <c r="I1720">
        <v>2023</v>
      </c>
    </row>
    <row r="1721" spans="1:9" x14ac:dyDescent="0.3">
      <c r="A1721">
        <v>211897884</v>
      </c>
      <c r="B1721" s="1">
        <v>45027</v>
      </c>
      <c r="D1721" t="s">
        <v>7</v>
      </c>
      <c r="E1721">
        <v>39</v>
      </c>
      <c r="F1721" t="s">
        <v>6</v>
      </c>
      <c r="H1721" t="s">
        <v>62</v>
      </c>
      <c r="I1721">
        <v>2023</v>
      </c>
    </row>
    <row r="1722" spans="1:9" x14ac:dyDescent="0.3">
      <c r="A1722">
        <v>211661733</v>
      </c>
      <c r="B1722" s="1">
        <v>45027</v>
      </c>
      <c r="D1722" t="s">
        <v>7</v>
      </c>
      <c r="E1722">
        <v>39</v>
      </c>
      <c r="F1722" t="s">
        <v>6</v>
      </c>
      <c r="H1722" t="s">
        <v>62</v>
      </c>
      <c r="I1722">
        <v>2023</v>
      </c>
    </row>
    <row r="1723" spans="1:9" x14ac:dyDescent="0.3">
      <c r="A1723">
        <v>211561665</v>
      </c>
      <c r="B1723" s="1">
        <v>45027</v>
      </c>
      <c r="D1723" t="s">
        <v>8</v>
      </c>
      <c r="E1723">
        <v>39</v>
      </c>
      <c r="F1723" t="s">
        <v>6</v>
      </c>
      <c r="H1723" t="s">
        <v>62</v>
      </c>
      <c r="I1723">
        <v>2023</v>
      </c>
    </row>
    <row r="1724" spans="1:9" x14ac:dyDescent="0.3">
      <c r="A1724">
        <v>211911280</v>
      </c>
      <c r="B1724" s="1">
        <v>45027</v>
      </c>
      <c r="C1724" s="1">
        <v>45161</v>
      </c>
      <c r="D1724" t="s">
        <v>7</v>
      </c>
      <c r="E1724">
        <v>39</v>
      </c>
      <c r="F1724" t="s">
        <v>6</v>
      </c>
      <c r="G1724" s="19">
        <v>134</v>
      </c>
      <c r="H1724" t="s">
        <v>62</v>
      </c>
      <c r="I1724">
        <v>2023</v>
      </c>
    </row>
    <row r="1725" spans="1:9" x14ac:dyDescent="0.3">
      <c r="A1725">
        <v>123946316</v>
      </c>
      <c r="B1725" s="1">
        <v>45027</v>
      </c>
      <c r="C1725" s="1">
        <v>45094</v>
      </c>
      <c r="D1725" t="s">
        <v>7</v>
      </c>
      <c r="E1725">
        <v>39</v>
      </c>
      <c r="F1725" t="s">
        <v>6</v>
      </c>
      <c r="G1725" s="19">
        <v>67</v>
      </c>
      <c r="H1725" t="s">
        <v>62</v>
      </c>
      <c r="I1725">
        <v>2023</v>
      </c>
    </row>
    <row r="1726" spans="1:9" x14ac:dyDescent="0.3">
      <c r="A1726">
        <v>144469362</v>
      </c>
      <c r="B1726" s="1">
        <v>45027</v>
      </c>
      <c r="C1726" s="1">
        <v>45047</v>
      </c>
      <c r="D1726" t="s">
        <v>7</v>
      </c>
      <c r="E1726">
        <v>39</v>
      </c>
      <c r="F1726" t="s">
        <v>6</v>
      </c>
      <c r="G1726" s="19">
        <v>20</v>
      </c>
      <c r="H1726" t="s">
        <v>62</v>
      </c>
      <c r="I1726">
        <v>2023</v>
      </c>
    </row>
    <row r="1727" spans="1:9" x14ac:dyDescent="0.3">
      <c r="A1727">
        <v>187268085</v>
      </c>
      <c r="B1727" s="1">
        <v>45027</v>
      </c>
      <c r="C1727" s="1">
        <v>45054</v>
      </c>
      <c r="D1727" t="s">
        <v>7</v>
      </c>
      <c r="E1727">
        <v>39</v>
      </c>
      <c r="F1727" t="s">
        <v>6</v>
      </c>
      <c r="G1727" s="19">
        <v>27</v>
      </c>
      <c r="H1727" t="s">
        <v>62</v>
      </c>
      <c r="I1727">
        <v>2023</v>
      </c>
    </row>
    <row r="1728" spans="1:9" x14ac:dyDescent="0.3">
      <c r="A1728">
        <v>210088359</v>
      </c>
      <c r="B1728" s="1">
        <v>45027</v>
      </c>
      <c r="C1728" s="1">
        <v>45103</v>
      </c>
      <c r="D1728" t="s">
        <v>7</v>
      </c>
      <c r="E1728">
        <v>39</v>
      </c>
      <c r="F1728" t="s">
        <v>6</v>
      </c>
      <c r="G1728" s="19">
        <v>76</v>
      </c>
      <c r="H1728" t="s">
        <v>62</v>
      </c>
      <c r="I1728">
        <v>2023</v>
      </c>
    </row>
    <row r="1729" spans="1:9" x14ac:dyDescent="0.3">
      <c r="A1729">
        <v>211906202</v>
      </c>
      <c r="B1729" s="1">
        <v>45027</v>
      </c>
      <c r="C1729" s="1">
        <v>45068</v>
      </c>
      <c r="D1729" t="s">
        <v>7</v>
      </c>
      <c r="E1729">
        <v>39</v>
      </c>
      <c r="F1729" t="s">
        <v>6</v>
      </c>
      <c r="G1729" s="19">
        <v>41</v>
      </c>
      <c r="H1729" t="s">
        <v>62</v>
      </c>
      <c r="I1729">
        <v>2023</v>
      </c>
    </row>
    <row r="1730" spans="1:9" x14ac:dyDescent="0.3">
      <c r="A1730">
        <v>126391978</v>
      </c>
      <c r="B1730" s="1">
        <v>45027</v>
      </c>
      <c r="C1730" s="1">
        <v>45127</v>
      </c>
      <c r="D1730" t="s">
        <v>7</v>
      </c>
      <c r="E1730">
        <v>39</v>
      </c>
      <c r="F1730" t="s">
        <v>6</v>
      </c>
      <c r="G1730" s="19">
        <v>100</v>
      </c>
      <c r="H1730" t="s">
        <v>62</v>
      </c>
      <c r="I1730">
        <v>2023</v>
      </c>
    </row>
    <row r="1731" spans="1:9" x14ac:dyDescent="0.3">
      <c r="A1731">
        <v>154753462</v>
      </c>
      <c r="B1731" s="1">
        <v>45028</v>
      </c>
      <c r="D1731" t="s">
        <v>7</v>
      </c>
      <c r="E1731">
        <v>39</v>
      </c>
      <c r="F1731" t="s">
        <v>6</v>
      </c>
      <c r="H1731" t="s">
        <v>63</v>
      </c>
      <c r="I1731">
        <v>2023</v>
      </c>
    </row>
    <row r="1732" spans="1:9" x14ac:dyDescent="0.3">
      <c r="A1732">
        <v>212049757</v>
      </c>
      <c r="B1732" s="1">
        <v>45028</v>
      </c>
      <c r="D1732" t="s">
        <v>7</v>
      </c>
      <c r="E1732">
        <v>39</v>
      </c>
      <c r="F1732" t="s">
        <v>6</v>
      </c>
      <c r="H1732" t="s">
        <v>63</v>
      </c>
      <c r="I1732">
        <v>2023</v>
      </c>
    </row>
    <row r="1733" spans="1:9" x14ac:dyDescent="0.3">
      <c r="A1733">
        <v>147015210</v>
      </c>
      <c r="B1733" s="1">
        <v>45028</v>
      </c>
      <c r="D1733" t="s">
        <v>7</v>
      </c>
      <c r="E1733">
        <v>39</v>
      </c>
      <c r="F1733" t="s">
        <v>6</v>
      </c>
      <c r="H1733" t="s">
        <v>63</v>
      </c>
      <c r="I1733">
        <v>2023</v>
      </c>
    </row>
    <row r="1734" spans="1:9" x14ac:dyDescent="0.3">
      <c r="A1734">
        <v>212057431</v>
      </c>
      <c r="B1734" s="1">
        <v>45028</v>
      </c>
      <c r="C1734" s="1">
        <v>45029</v>
      </c>
      <c r="D1734" t="s">
        <v>8</v>
      </c>
      <c r="E1734">
        <v>39</v>
      </c>
      <c r="F1734" t="s">
        <v>6</v>
      </c>
      <c r="G1734" s="19">
        <v>1</v>
      </c>
      <c r="H1734" t="s">
        <v>63</v>
      </c>
      <c r="I1734">
        <v>2023</v>
      </c>
    </row>
    <row r="1735" spans="1:9" x14ac:dyDescent="0.3">
      <c r="A1735">
        <v>205734465</v>
      </c>
      <c r="B1735" s="1">
        <v>45028</v>
      </c>
      <c r="C1735" s="1">
        <v>45085</v>
      </c>
      <c r="D1735" t="s">
        <v>7</v>
      </c>
      <c r="E1735">
        <v>39</v>
      </c>
      <c r="F1735" t="s">
        <v>6</v>
      </c>
      <c r="G1735" s="19">
        <v>57</v>
      </c>
      <c r="H1735" t="s">
        <v>63</v>
      </c>
      <c r="I1735">
        <v>2023</v>
      </c>
    </row>
    <row r="1736" spans="1:9" x14ac:dyDescent="0.3">
      <c r="A1736">
        <v>208772540</v>
      </c>
      <c r="B1736" s="1">
        <v>45028</v>
      </c>
      <c r="C1736" s="1">
        <v>45046</v>
      </c>
      <c r="D1736" t="s">
        <v>7</v>
      </c>
      <c r="E1736">
        <v>39</v>
      </c>
      <c r="F1736" t="s">
        <v>6</v>
      </c>
      <c r="G1736" s="19">
        <v>18</v>
      </c>
      <c r="H1736" t="s">
        <v>63</v>
      </c>
      <c r="I1736">
        <v>2023</v>
      </c>
    </row>
    <row r="1737" spans="1:9" x14ac:dyDescent="0.3">
      <c r="A1737">
        <v>182357706</v>
      </c>
      <c r="B1737" s="1">
        <v>45028</v>
      </c>
      <c r="C1737" s="1">
        <v>45111</v>
      </c>
      <c r="D1737" t="s">
        <v>7</v>
      </c>
      <c r="E1737">
        <v>39</v>
      </c>
      <c r="F1737" t="s">
        <v>6</v>
      </c>
      <c r="G1737" s="19">
        <v>83</v>
      </c>
      <c r="H1737" t="s">
        <v>63</v>
      </c>
      <c r="I1737">
        <v>2023</v>
      </c>
    </row>
    <row r="1738" spans="1:9" x14ac:dyDescent="0.3">
      <c r="A1738">
        <v>211333348</v>
      </c>
      <c r="B1738" s="1">
        <v>45028</v>
      </c>
      <c r="C1738" s="1">
        <v>45115</v>
      </c>
      <c r="D1738" t="s">
        <v>7</v>
      </c>
      <c r="E1738">
        <v>39</v>
      </c>
      <c r="F1738" t="s">
        <v>6</v>
      </c>
      <c r="G1738" s="19">
        <v>87</v>
      </c>
      <c r="H1738" t="s">
        <v>63</v>
      </c>
      <c r="I1738">
        <v>2023</v>
      </c>
    </row>
    <row r="1739" spans="1:9" x14ac:dyDescent="0.3">
      <c r="A1739">
        <v>211334702</v>
      </c>
      <c r="B1739" s="1">
        <v>45028</v>
      </c>
      <c r="C1739" s="1">
        <v>45132</v>
      </c>
      <c r="D1739" t="s">
        <v>7</v>
      </c>
      <c r="E1739">
        <v>39</v>
      </c>
      <c r="F1739" t="s">
        <v>6</v>
      </c>
      <c r="G1739" s="19">
        <v>104</v>
      </c>
      <c r="H1739" t="s">
        <v>63</v>
      </c>
      <c r="I1739">
        <v>2023</v>
      </c>
    </row>
    <row r="1740" spans="1:9" x14ac:dyDescent="0.3">
      <c r="A1740">
        <v>212129575</v>
      </c>
      <c r="B1740" s="1">
        <v>45029</v>
      </c>
      <c r="D1740" t="s">
        <v>7</v>
      </c>
      <c r="E1740">
        <v>39</v>
      </c>
      <c r="F1740" t="s">
        <v>6</v>
      </c>
      <c r="H1740" t="s">
        <v>64</v>
      </c>
      <c r="I1740">
        <v>2023</v>
      </c>
    </row>
    <row r="1741" spans="1:9" x14ac:dyDescent="0.3">
      <c r="A1741">
        <v>209733088</v>
      </c>
      <c r="B1741" s="1">
        <v>45029</v>
      </c>
      <c r="D1741" t="s">
        <v>7</v>
      </c>
      <c r="E1741">
        <v>39</v>
      </c>
      <c r="F1741" t="s">
        <v>6</v>
      </c>
      <c r="H1741" t="s">
        <v>64</v>
      </c>
      <c r="I1741">
        <v>2023</v>
      </c>
    </row>
    <row r="1742" spans="1:9" x14ac:dyDescent="0.3">
      <c r="A1742">
        <v>152792045</v>
      </c>
      <c r="B1742" s="1">
        <v>45029</v>
      </c>
      <c r="C1742" s="1">
        <v>45097</v>
      </c>
      <c r="D1742" t="s">
        <v>7</v>
      </c>
      <c r="E1742">
        <v>39</v>
      </c>
      <c r="F1742" t="s">
        <v>6</v>
      </c>
      <c r="G1742" s="19">
        <v>68</v>
      </c>
      <c r="H1742" t="s">
        <v>64</v>
      </c>
      <c r="I1742">
        <v>2023</v>
      </c>
    </row>
    <row r="1743" spans="1:9" x14ac:dyDescent="0.3">
      <c r="A1743">
        <v>212163568</v>
      </c>
      <c r="B1743" s="1">
        <v>45029</v>
      </c>
      <c r="C1743" s="1">
        <v>45075</v>
      </c>
      <c r="D1743" t="s">
        <v>7</v>
      </c>
      <c r="E1743">
        <v>39</v>
      </c>
      <c r="F1743" t="s">
        <v>6</v>
      </c>
      <c r="G1743" s="19">
        <v>46</v>
      </c>
      <c r="H1743" t="s">
        <v>64</v>
      </c>
      <c r="I1743">
        <v>2023</v>
      </c>
    </row>
    <row r="1744" spans="1:9" x14ac:dyDescent="0.3">
      <c r="A1744">
        <v>212260363</v>
      </c>
      <c r="B1744" s="1">
        <v>45029</v>
      </c>
      <c r="C1744" s="1">
        <v>45056</v>
      </c>
      <c r="D1744" t="s">
        <v>7</v>
      </c>
      <c r="E1744">
        <v>39</v>
      </c>
      <c r="F1744" t="s">
        <v>6</v>
      </c>
      <c r="G1744" s="19">
        <v>27</v>
      </c>
      <c r="H1744" t="s">
        <v>64</v>
      </c>
      <c r="I1744">
        <v>2023</v>
      </c>
    </row>
    <row r="1745" spans="1:9" x14ac:dyDescent="0.3">
      <c r="A1745">
        <v>212164158</v>
      </c>
      <c r="B1745" s="1">
        <v>45029</v>
      </c>
      <c r="C1745" s="1">
        <v>45104</v>
      </c>
      <c r="D1745" t="s">
        <v>7</v>
      </c>
      <c r="E1745">
        <v>39</v>
      </c>
      <c r="F1745" t="s">
        <v>6</v>
      </c>
      <c r="G1745" s="19">
        <v>75</v>
      </c>
      <c r="H1745" t="s">
        <v>64</v>
      </c>
      <c r="I1745">
        <v>2023</v>
      </c>
    </row>
    <row r="1746" spans="1:9" x14ac:dyDescent="0.3">
      <c r="A1746">
        <v>155604779</v>
      </c>
      <c r="B1746" s="1">
        <v>45029</v>
      </c>
      <c r="C1746" s="1">
        <v>45111</v>
      </c>
      <c r="D1746" t="s">
        <v>7</v>
      </c>
      <c r="E1746">
        <v>39</v>
      </c>
      <c r="F1746" t="s">
        <v>6</v>
      </c>
      <c r="G1746" s="19">
        <v>82</v>
      </c>
      <c r="H1746" t="s">
        <v>64</v>
      </c>
      <c r="I1746">
        <v>2023</v>
      </c>
    </row>
    <row r="1747" spans="1:9" x14ac:dyDescent="0.3">
      <c r="A1747">
        <v>150421022</v>
      </c>
      <c r="B1747" s="1">
        <v>45029</v>
      </c>
      <c r="C1747" s="1">
        <v>45092</v>
      </c>
      <c r="D1747" t="s">
        <v>7</v>
      </c>
      <c r="E1747">
        <v>39</v>
      </c>
      <c r="F1747" t="s">
        <v>6</v>
      </c>
      <c r="G1747" s="19">
        <v>63</v>
      </c>
      <c r="H1747" t="s">
        <v>64</v>
      </c>
      <c r="I1747">
        <v>2023</v>
      </c>
    </row>
    <row r="1748" spans="1:9" x14ac:dyDescent="0.3">
      <c r="A1748">
        <v>122616012</v>
      </c>
      <c r="B1748" s="1">
        <v>45029</v>
      </c>
      <c r="C1748" s="1">
        <v>45106</v>
      </c>
      <c r="D1748" t="s">
        <v>7</v>
      </c>
      <c r="E1748">
        <v>39</v>
      </c>
      <c r="F1748" t="s">
        <v>6</v>
      </c>
      <c r="G1748" s="19">
        <v>77</v>
      </c>
      <c r="H1748" t="s">
        <v>64</v>
      </c>
      <c r="I1748">
        <v>2023</v>
      </c>
    </row>
    <row r="1749" spans="1:9" x14ac:dyDescent="0.3">
      <c r="A1749">
        <v>209356278</v>
      </c>
      <c r="B1749" s="1">
        <v>45030</v>
      </c>
      <c r="D1749" t="s">
        <v>7</v>
      </c>
      <c r="E1749">
        <v>39</v>
      </c>
      <c r="F1749" t="s">
        <v>6</v>
      </c>
      <c r="H1749" t="s">
        <v>65</v>
      </c>
      <c r="I1749">
        <v>2023</v>
      </c>
    </row>
    <row r="1750" spans="1:9" x14ac:dyDescent="0.3">
      <c r="A1750">
        <v>212604642</v>
      </c>
      <c r="B1750" s="1">
        <v>45030</v>
      </c>
      <c r="D1750" t="s">
        <v>7</v>
      </c>
      <c r="E1750">
        <v>39</v>
      </c>
      <c r="F1750" t="s">
        <v>6</v>
      </c>
      <c r="H1750" t="s">
        <v>65</v>
      </c>
      <c r="I1750">
        <v>2023</v>
      </c>
    </row>
    <row r="1751" spans="1:9" x14ac:dyDescent="0.3">
      <c r="A1751">
        <v>210730447</v>
      </c>
      <c r="B1751" s="1">
        <v>45030</v>
      </c>
      <c r="D1751" t="s">
        <v>7</v>
      </c>
      <c r="E1751">
        <v>39</v>
      </c>
      <c r="F1751" t="s">
        <v>6</v>
      </c>
      <c r="H1751" t="s">
        <v>65</v>
      </c>
      <c r="I1751">
        <v>2023</v>
      </c>
    </row>
    <row r="1752" spans="1:9" x14ac:dyDescent="0.3">
      <c r="A1752">
        <v>212388726</v>
      </c>
      <c r="B1752" s="1">
        <v>45030</v>
      </c>
      <c r="D1752" t="s">
        <v>8</v>
      </c>
      <c r="E1752">
        <v>39</v>
      </c>
      <c r="F1752" t="s">
        <v>6</v>
      </c>
      <c r="H1752" t="s">
        <v>65</v>
      </c>
      <c r="I1752">
        <v>2023</v>
      </c>
    </row>
    <row r="1753" spans="1:9" x14ac:dyDescent="0.3">
      <c r="A1753">
        <v>127793951</v>
      </c>
      <c r="B1753" s="1">
        <v>45030</v>
      </c>
      <c r="C1753" s="1">
        <v>45169</v>
      </c>
      <c r="D1753" t="s">
        <v>7</v>
      </c>
      <c r="E1753">
        <v>39</v>
      </c>
      <c r="F1753" t="s">
        <v>6</v>
      </c>
      <c r="G1753" s="19">
        <v>139</v>
      </c>
      <c r="H1753" t="s">
        <v>65</v>
      </c>
      <c r="I1753">
        <v>2023</v>
      </c>
    </row>
    <row r="1754" spans="1:9" x14ac:dyDescent="0.3">
      <c r="A1754">
        <v>189715793</v>
      </c>
      <c r="B1754" s="1">
        <v>45030</v>
      </c>
      <c r="C1754" s="1">
        <v>45067</v>
      </c>
      <c r="D1754" t="s">
        <v>7</v>
      </c>
      <c r="E1754">
        <v>39</v>
      </c>
      <c r="F1754" t="s">
        <v>6</v>
      </c>
      <c r="G1754" s="19">
        <v>37</v>
      </c>
      <c r="H1754" t="s">
        <v>65</v>
      </c>
      <c r="I1754">
        <v>2023</v>
      </c>
    </row>
    <row r="1755" spans="1:9" x14ac:dyDescent="0.3">
      <c r="A1755">
        <v>148369126</v>
      </c>
      <c r="B1755" s="1">
        <v>45031</v>
      </c>
      <c r="D1755" t="s">
        <v>7</v>
      </c>
      <c r="E1755">
        <v>39</v>
      </c>
      <c r="F1755" t="s">
        <v>6</v>
      </c>
      <c r="H1755" t="s">
        <v>66</v>
      </c>
      <c r="I1755">
        <v>2023</v>
      </c>
    </row>
    <row r="1756" spans="1:9" x14ac:dyDescent="0.3">
      <c r="A1756">
        <v>157503290</v>
      </c>
      <c r="B1756" s="1">
        <v>45031</v>
      </c>
      <c r="C1756" s="1">
        <v>45068</v>
      </c>
      <c r="D1756" t="s">
        <v>7</v>
      </c>
      <c r="E1756">
        <v>39</v>
      </c>
      <c r="F1756" t="s">
        <v>6</v>
      </c>
      <c r="G1756" s="19">
        <v>37</v>
      </c>
      <c r="H1756" t="s">
        <v>66</v>
      </c>
      <c r="I1756">
        <v>2023</v>
      </c>
    </row>
    <row r="1757" spans="1:9" x14ac:dyDescent="0.3">
      <c r="A1757">
        <v>212712986</v>
      </c>
      <c r="B1757" s="1">
        <v>45031</v>
      </c>
      <c r="C1757" s="1">
        <v>45077</v>
      </c>
      <c r="D1757" t="s">
        <v>7</v>
      </c>
      <c r="E1757">
        <v>39</v>
      </c>
      <c r="F1757" t="s">
        <v>6</v>
      </c>
      <c r="G1757" s="19">
        <v>46</v>
      </c>
      <c r="H1757" t="s">
        <v>66</v>
      </c>
      <c r="I1757">
        <v>2023</v>
      </c>
    </row>
    <row r="1758" spans="1:9" x14ac:dyDescent="0.3">
      <c r="A1758">
        <v>204512028</v>
      </c>
      <c r="B1758" s="1">
        <v>45031</v>
      </c>
      <c r="C1758" s="1">
        <v>45061</v>
      </c>
      <c r="D1758" t="s">
        <v>7</v>
      </c>
      <c r="E1758">
        <v>39</v>
      </c>
      <c r="F1758" t="s">
        <v>6</v>
      </c>
      <c r="G1758" s="19">
        <v>30</v>
      </c>
      <c r="H1758" t="s">
        <v>66</v>
      </c>
      <c r="I1758">
        <v>2023</v>
      </c>
    </row>
    <row r="1759" spans="1:9" x14ac:dyDescent="0.3">
      <c r="A1759">
        <v>147066240</v>
      </c>
      <c r="B1759" s="1">
        <v>45031</v>
      </c>
      <c r="C1759" s="1">
        <v>45046</v>
      </c>
      <c r="D1759" t="s">
        <v>7</v>
      </c>
      <c r="E1759">
        <v>39</v>
      </c>
      <c r="F1759" t="s">
        <v>6</v>
      </c>
      <c r="G1759" s="19">
        <v>15</v>
      </c>
      <c r="H1759" t="s">
        <v>66</v>
      </c>
      <c r="I1759">
        <v>2023</v>
      </c>
    </row>
    <row r="1760" spans="1:9" x14ac:dyDescent="0.3">
      <c r="A1760">
        <v>212759443</v>
      </c>
      <c r="B1760" s="1">
        <v>45032</v>
      </c>
      <c r="C1760" s="1">
        <v>45032</v>
      </c>
      <c r="D1760" t="s">
        <v>7</v>
      </c>
      <c r="E1760">
        <v>39</v>
      </c>
      <c r="F1760" t="s">
        <v>6</v>
      </c>
      <c r="G1760" s="19">
        <v>0</v>
      </c>
      <c r="H1760" t="s">
        <v>60</v>
      </c>
      <c r="I1760">
        <v>2023</v>
      </c>
    </row>
    <row r="1761" spans="1:9" x14ac:dyDescent="0.3">
      <c r="A1761">
        <v>212042832</v>
      </c>
      <c r="B1761" s="1">
        <v>45033</v>
      </c>
      <c r="D1761" t="s">
        <v>7</v>
      </c>
      <c r="E1761">
        <v>39</v>
      </c>
      <c r="F1761" t="s">
        <v>6</v>
      </c>
      <c r="H1761" t="s">
        <v>61</v>
      </c>
      <c r="I1761">
        <v>2023</v>
      </c>
    </row>
    <row r="1762" spans="1:9" x14ac:dyDescent="0.3">
      <c r="A1762">
        <v>212113682</v>
      </c>
      <c r="B1762" s="1">
        <v>45033</v>
      </c>
      <c r="D1762" t="s">
        <v>7</v>
      </c>
      <c r="E1762">
        <v>39</v>
      </c>
      <c r="F1762" t="s">
        <v>6</v>
      </c>
      <c r="H1762" t="s">
        <v>61</v>
      </c>
      <c r="I1762">
        <v>2023</v>
      </c>
    </row>
    <row r="1763" spans="1:9" x14ac:dyDescent="0.3">
      <c r="A1763">
        <v>181175226</v>
      </c>
      <c r="B1763" s="1">
        <v>45033</v>
      </c>
      <c r="D1763" t="s">
        <v>7</v>
      </c>
      <c r="E1763">
        <v>39</v>
      </c>
      <c r="F1763" t="s">
        <v>6</v>
      </c>
      <c r="H1763" t="s">
        <v>61</v>
      </c>
      <c r="I1763">
        <v>2023</v>
      </c>
    </row>
    <row r="1764" spans="1:9" x14ac:dyDescent="0.3">
      <c r="A1764">
        <v>201817514</v>
      </c>
      <c r="B1764" s="1">
        <v>45033</v>
      </c>
      <c r="C1764" s="1">
        <v>45034</v>
      </c>
      <c r="D1764" t="s">
        <v>7</v>
      </c>
      <c r="E1764">
        <v>39</v>
      </c>
      <c r="F1764" t="s">
        <v>6</v>
      </c>
      <c r="G1764" s="19">
        <v>1</v>
      </c>
      <c r="H1764" t="s">
        <v>61</v>
      </c>
      <c r="I1764">
        <v>2023</v>
      </c>
    </row>
    <row r="1765" spans="1:9" x14ac:dyDescent="0.3">
      <c r="A1765">
        <v>168698174</v>
      </c>
      <c r="B1765" s="1">
        <v>45033</v>
      </c>
      <c r="C1765" s="1">
        <v>45033</v>
      </c>
      <c r="D1765" t="s">
        <v>7</v>
      </c>
      <c r="E1765">
        <v>39</v>
      </c>
      <c r="F1765" t="s">
        <v>6</v>
      </c>
      <c r="G1765" s="19">
        <v>0</v>
      </c>
      <c r="H1765" t="s">
        <v>61</v>
      </c>
      <c r="I1765">
        <v>2023</v>
      </c>
    </row>
    <row r="1766" spans="1:9" x14ac:dyDescent="0.3">
      <c r="A1766">
        <v>170512298</v>
      </c>
      <c r="B1766" s="1">
        <v>45033</v>
      </c>
      <c r="C1766" s="1">
        <v>45061</v>
      </c>
      <c r="D1766" t="s">
        <v>7</v>
      </c>
      <c r="E1766">
        <v>39</v>
      </c>
      <c r="F1766" t="s">
        <v>6</v>
      </c>
      <c r="G1766" s="19">
        <v>28</v>
      </c>
      <c r="H1766" t="s">
        <v>61</v>
      </c>
      <c r="I1766">
        <v>2023</v>
      </c>
    </row>
    <row r="1767" spans="1:9" x14ac:dyDescent="0.3">
      <c r="A1767">
        <v>213181546</v>
      </c>
      <c r="B1767" s="1">
        <v>45033</v>
      </c>
      <c r="C1767" s="1">
        <v>45078</v>
      </c>
      <c r="D1767" t="s">
        <v>7</v>
      </c>
      <c r="E1767">
        <v>39</v>
      </c>
      <c r="F1767" t="s">
        <v>6</v>
      </c>
      <c r="G1767" s="19">
        <v>45</v>
      </c>
      <c r="H1767" t="s">
        <v>61</v>
      </c>
      <c r="I1767">
        <v>2023</v>
      </c>
    </row>
    <row r="1768" spans="1:9" x14ac:dyDescent="0.3">
      <c r="A1768">
        <v>154535908</v>
      </c>
      <c r="B1768" s="1">
        <v>45033</v>
      </c>
      <c r="C1768" s="1">
        <v>45101</v>
      </c>
      <c r="D1768" t="s">
        <v>7</v>
      </c>
      <c r="E1768">
        <v>39</v>
      </c>
      <c r="F1768" t="s">
        <v>6</v>
      </c>
      <c r="G1768" s="19">
        <v>68</v>
      </c>
      <c r="H1768" t="s">
        <v>61</v>
      </c>
      <c r="I1768">
        <v>2023</v>
      </c>
    </row>
    <row r="1769" spans="1:9" x14ac:dyDescent="0.3">
      <c r="A1769">
        <v>151540809</v>
      </c>
      <c r="B1769" s="1">
        <v>45033</v>
      </c>
      <c r="C1769" s="1">
        <v>45069</v>
      </c>
      <c r="D1769" t="s">
        <v>7</v>
      </c>
      <c r="E1769">
        <v>39</v>
      </c>
      <c r="F1769" t="s">
        <v>6</v>
      </c>
      <c r="G1769" s="19">
        <v>36</v>
      </c>
      <c r="H1769" t="s">
        <v>61</v>
      </c>
      <c r="I1769">
        <v>2023</v>
      </c>
    </row>
    <row r="1770" spans="1:9" x14ac:dyDescent="0.3">
      <c r="A1770">
        <v>212334937</v>
      </c>
      <c r="B1770" s="1">
        <v>45033</v>
      </c>
      <c r="C1770" s="1">
        <v>45064</v>
      </c>
      <c r="D1770" t="s">
        <v>7</v>
      </c>
      <c r="E1770">
        <v>39</v>
      </c>
      <c r="F1770" t="s">
        <v>6</v>
      </c>
      <c r="G1770" s="19">
        <v>31</v>
      </c>
      <c r="H1770" t="s">
        <v>61</v>
      </c>
      <c r="I1770">
        <v>2023</v>
      </c>
    </row>
    <row r="1771" spans="1:9" x14ac:dyDescent="0.3">
      <c r="A1771">
        <v>204766175</v>
      </c>
      <c r="B1771" s="1">
        <v>45033</v>
      </c>
      <c r="C1771" s="1">
        <v>45121</v>
      </c>
      <c r="D1771" t="s">
        <v>7</v>
      </c>
      <c r="E1771">
        <v>39</v>
      </c>
      <c r="F1771" t="s">
        <v>6</v>
      </c>
      <c r="G1771" s="19">
        <v>88</v>
      </c>
      <c r="H1771" t="s">
        <v>61</v>
      </c>
      <c r="I1771">
        <v>2023</v>
      </c>
    </row>
    <row r="1772" spans="1:9" x14ac:dyDescent="0.3">
      <c r="A1772">
        <v>212055738</v>
      </c>
      <c r="B1772" s="1">
        <v>45033</v>
      </c>
      <c r="C1772" s="1">
        <v>45162</v>
      </c>
      <c r="D1772" t="s">
        <v>7</v>
      </c>
      <c r="E1772">
        <v>39</v>
      </c>
      <c r="F1772" t="s">
        <v>6</v>
      </c>
      <c r="G1772" s="19">
        <v>129</v>
      </c>
      <c r="H1772" t="s">
        <v>61</v>
      </c>
      <c r="I1772">
        <v>2023</v>
      </c>
    </row>
    <row r="1773" spans="1:9" x14ac:dyDescent="0.3">
      <c r="A1773">
        <v>211907956</v>
      </c>
      <c r="B1773" s="1">
        <v>45034</v>
      </c>
      <c r="D1773" t="s">
        <v>7</v>
      </c>
      <c r="E1773">
        <v>39</v>
      </c>
      <c r="F1773" t="s">
        <v>6</v>
      </c>
      <c r="H1773" t="s">
        <v>62</v>
      </c>
      <c r="I1773">
        <v>2023</v>
      </c>
    </row>
    <row r="1774" spans="1:9" x14ac:dyDescent="0.3">
      <c r="A1774">
        <v>212759443</v>
      </c>
      <c r="B1774" s="1">
        <v>45034</v>
      </c>
      <c r="D1774" t="s">
        <v>7</v>
      </c>
      <c r="E1774">
        <v>39</v>
      </c>
      <c r="F1774" t="s">
        <v>6</v>
      </c>
      <c r="H1774" t="s">
        <v>62</v>
      </c>
      <c r="I1774">
        <v>2023</v>
      </c>
    </row>
    <row r="1775" spans="1:9" x14ac:dyDescent="0.3">
      <c r="A1775">
        <v>213182327</v>
      </c>
      <c r="B1775" s="1">
        <v>45034</v>
      </c>
      <c r="D1775" t="s">
        <v>7</v>
      </c>
      <c r="E1775">
        <v>39</v>
      </c>
      <c r="F1775" t="s">
        <v>6</v>
      </c>
      <c r="H1775" t="s">
        <v>62</v>
      </c>
      <c r="I1775">
        <v>2023</v>
      </c>
    </row>
    <row r="1776" spans="1:9" x14ac:dyDescent="0.3">
      <c r="A1776">
        <v>213442067</v>
      </c>
      <c r="B1776" s="1">
        <v>45034</v>
      </c>
      <c r="D1776" t="s">
        <v>7</v>
      </c>
      <c r="E1776">
        <v>39</v>
      </c>
      <c r="F1776" t="s">
        <v>6</v>
      </c>
      <c r="H1776" t="s">
        <v>62</v>
      </c>
      <c r="I1776">
        <v>2023</v>
      </c>
    </row>
    <row r="1777" spans="1:9" x14ac:dyDescent="0.3">
      <c r="A1777">
        <v>213427247</v>
      </c>
      <c r="B1777" s="1">
        <v>45034</v>
      </c>
      <c r="D1777" t="s">
        <v>7</v>
      </c>
      <c r="E1777">
        <v>39</v>
      </c>
      <c r="F1777" t="s">
        <v>6</v>
      </c>
      <c r="H1777" t="s">
        <v>62</v>
      </c>
      <c r="I1777">
        <v>2023</v>
      </c>
    </row>
    <row r="1778" spans="1:9" x14ac:dyDescent="0.3">
      <c r="A1778">
        <v>172476368</v>
      </c>
      <c r="B1778" s="1">
        <v>45034</v>
      </c>
      <c r="C1778" s="1">
        <v>45061</v>
      </c>
      <c r="D1778" t="s">
        <v>7</v>
      </c>
      <c r="E1778">
        <v>39</v>
      </c>
      <c r="F1778" t="s">
        <v>6</v>
      </c>
      <c r="G1778" s="19">
        <v>27</v>
      </c>
      <c r="H1778" t="s">
        <v>62</v>
      </c>
      <c r="I1778">
        <v>2023</v>
      </c>
    </row>
    <row r="1779" spans="1:9" x14ac:dyDescent="0.3">
      <c r="A1779">
        <v>148900262</v>
      </c>
      <c r="B1779" s="1">
        <v>45034</v>
      </c>
      <c r="C1779" s="1">
        <v>45057</v>
      </c>
      <c r="D1779" t="s">
        <v>7</v>
      </c>
      <c r="E1779">
        <v>39</v>
      </c>
      <c r="F1779" t="s">
        <v>6</v>
      </c>
      <c r="G1779" s="19">
        <v>23</v>
      </c>
      <c r="H1779" t="s">
        <v>62</v>
      </c>
      <c r="I1779">
        <v>2023</v>
      </c>
    </row>
    <row r="1780" spans="1:9" x14ac:dyDescent="0.3">
      <c r="A1780">
        <v>213450505</v>
      </c>
      <c r="B1780" s="1">
        <v>45034</v>
      </c>
      <c r="C1780" s="1">
        <v>45062</v>
      </c>
      <c r="D1780" t="s">
        <v>7</v>
      </c>
      <c r="E1780">
        <v>39</v>
      </c>
      <c r="F1780" t="s">
        <v>6</v>
      </c>
      <c r="G1780" s="19">
        <v>28</v>
      </c>
      <c r="H1780" t="s">
        <v>62</v>
      </c>
      <c r="I1780">
        <v>2023</v>
      </c>
    </row>
    <row r="1781" spans="1:9" x14ac:dyDescent="0.3">
      <c r="A1781">
        <v>168261038</v>
      </c>
      <c r="B1781" s="1">
        <v>45034</v>
      </c>
      <c r="C1781" s="1">
        <v>45072</v>
      </c>
      <c r="D1781" t="s">
        <v>7</v>
      </c>
      <c r="E1781">
        <v>39</v>
      </c>
      <c r="F1781" t="s">
        <v>6</v>
      </c>
      <c r="G1781" s="19">
        <v>38</v>
      </c>
      <c r="H1781" t="s">
        <v>62</v>
      </c>
      <c r="I1781">
        <v>2023</v>
      </c>
    </row>
    <row r="1782" spans="1:9" x14ac:dyDescent="0.3">
      <c r="A1782">
        <v>207018786</v>
      </c>
      <c r="B1782" s="1">
        <v>45034</v>
      </c>
      <c r="C1782" s="1">
        <v>45132</v>
      </c>
      <c r="D1782" t="s">
        <v>7</v>
      </c>
      <c r="E1782">
        <v>39</v>
      </c>
      <c r="F1782" t="s">
        <v>6</v>
      </c>
      <c r="G1782" s="19">
        <v>98</v>
      </c>
      <c r="H1782" t="s">
        <v>62</v>
      </c>
      <c r="I1782">
        <v>2023</v>
      </c>
    </row>
    <row r="1783" spans="1:9" x14ac:dyDescent="0.3">
      <c r="A1783">
        <v>213781045</v>
      </c>
      <c r="B1783" s="1">
        <v>45035</v>
      </c>
      <c r="D1783" t="s">
        <v>7</v>
      </c>
      <c r="E1783">
        <v>39</v>
      </c>
      <c r="F1783" t="s">
        <v>6</v>
      </c>
      <c r="H1783" t="s">
        <v>63</v>
      </c>
      <c r="I1783">
        <v>2023</v>
      </c>
    </row>
    <row r="1784" spans="1:9" x14ac:dyDescent="0.3">
      <c r="A1784">
        <v>213785402</v>
      </c>
      <c r="B1784" s="1">
        <v>45035</v>
      </c>
      <c r="C1784" s="1">
        <v>45161</v>
      </c>
      <c r="D1784" t="s">
        <v>7</v>
      </c>
      <c r="E1784">
        <v>39</v>
      </c>
      <c r="F1784" t="s">
        <v>6</v>
      </c>
      <c r="G1784" s="19">
        <v>126</v>
      </c>
      <c r="H1784" t="s">
        <v>63</v>
      </c>
      <c r="I1784">
        <v>2023</v>
      </c>
    </row>
    <row r="1785" spans="1:9" x14ac:dyDescent="0.3">
      <c r="A1785">
        <v>213689187</v>
      </c>
      <c r="B1785" s="1">
        <v>45035</v>
      </c>
      <c r="C1785" s="1">
        <v>45036</v>
      </c>
      <c r="D1785" t="s">
        <v>8</v>
      </c>
      <c r="E1785">
        <v>39</v>
      </c>
      <c r="F1785" t="s">
        <v>6</v>
      </c>
      <c r="G1785" s="19">
        <v>1</v>
      </c>
      <c r="H1785" t="s">
        <v>63</v>
      </c>
      <c r="I1785">
        <v>2023</v>
      </c>
    </row>
    <row r="1786" spans="1:9" x14ac:dyDescent="0.3">
      <c r="A1786">
        <v>213413298</v>
      </c>
      <c r="B1786" s="1">
        <v>45035</v>
      </c>
      <c r="C1786" s="1">
        <v>45035</v>
      </c>
      <c r="D1786" t="s">
        <v>8</v>
      </c>
      <c r="E1786">
        <v>39</v>
      </c>
      <c r="F1786" t="s">
        <v>6</v>
      </c>
      <c r="G1786" s="19">
        <v>0</v>
      </c>
      <c r="H1786" t="s">
        <v>63</v>
      </c>
      <c r="I1786">
        <v>2023</v>
      </c>
    </row>
    <row r="1787" spans="1:9" x14ac:dyDescent="0.3">
      <c r="A1787">
        <v>184458429</v>
      </c>
      <c r="B1787" s="1">
        <v>45035</v>
      </c>
      <c r="C1787" s="1">
        <v>45085</v>
      </c>
      <c r="D1787" t="s">
        <v>7</v>
      </c>
      <c r="E1787">
        <v>39</v>
      </c>
      <c r="F1787" t="s">
        <v>6</v>
      </c>
      <c r="G1787" s="19">
        <v>50</v>
      </c>
      <c r="H1787" t="s">
        <v>63</v>
      </c>
      <c r="I1787">
        <v>2023</v>
      </c>
    </row>
    <row r="1788" spans="1:9" x14ac:dyDescent="0.3">
      <c r="A1788">
        <v>212190070</v>
      </c>
      <c r="B1788" s="1">
        <v>45035</v>
      </c>
      <c r="C1788" s="1">
        <v>45096</v>
      </c>
      <c r="D1788" t="s">
        <v>7</v>
      </c>
      <c r="E1788">
        <v>39</v>
      </c>
      <c r="F1788" t="s">
        <v>6</v>
      </c>
      <c r="G1788" s="19">
        <v>61</v>
      </c>
      <c r="H1788" t="s">
        <v>63</v>
      </c>
      <c r="I1788">
        <v>2023</v>
      </c>
    </row>
    <row r="1789" spans="1:9" x14ac:dyDescent="0.3">
      <c r="A1789">
        <v>212737739</v>
      </c>
      <c r="B1789" s="1">
        <v>45035</v>
      </c>
      <c r="C1789" s="1">
        <v>45077</v>
      </c>
      <c r="D1789" t="s">
        <v>7</v>
      </c>
      <c r="E1789">
        <v>39</v>
      </c>
      <c r="F1789" t="s">
        <v>6</v>
      </c>
      <c r="G1789" s="19">
        <v>42</v>
      </c>
      <c r="H1789" t="s">
        <v>63</v>
      </c>
      <c r="I1789">
        <v>2023</v>
      </c>
    </row>
    <row r="1790" spans="1:9" x14ac:dyDescent="0.3">
      <c r="A1790">
        <v>211904660</v>
      </c>
      <c r="B1790" s="1">
        <v>45036</v>
      </c>
      <c r="D1790" t="s">
        <v>7</v>
      </c>
      <c r="E1790">
        <v>39</v>
      </c>
      <c r="F1790" t="s">
        <v>6</v>
      </c>
      <c r="H1790" t="s">
        <v>64</v>
      </c>
      <c r="I1790">
        <v>2023</v>
      </c>
    </row>
    <row r="1791" spans="1:9" x14ac:dyDescent="0.3">
      <c r="A1791">
        <v>112792926</v>
      </c>
      <c r="B1791" s="1">
        <v>45036</v>
      </c>
      <c r="D1791" t="s">
        <v>7</v>
      </c>
      <c r="E1791">
        <v>39</v>
      </c>
      <c r="F1791" t="s">
        <v>6</v>
      </c>
      <c r="H1791" t="s">
        <v>64</v>
      </c>
      <c r="I1791">
        <v>2023</v>
      </c>
    </row>
    <row r="1792" spans="1:9" x14ac:dyDescent="0.3">
      <c r="A1792">
        <v>213914942</v>
      </c>
      <c r="B1792" s="1">
        <v>45036</v>
      </c>
      <c r="D1792" t="s">
        <v>7</v>
      </c>
      <c r="E1792">
        <v>39</v>
      </c>
      <c r="F1792" t="s">
        <v>6</v>
      </c>
      <c r="H1792" t="s">
        <v>64</v>
      </c>
      <c r="I1792">
        <v>2023</v>
      </c>
    </row>
    <row r="1793" spans="1:9" x14ac:dyDescent="0.3">
      <c r="A1793">
        <v>189220435</v>
      </c>
      <c r="B1793" s="1">
        <v>45036</v>
      </c>
      <c r="C1793" s="1">
        <v>45046</v>
      </c>
      <c r="D1793" t="s">
        <v>7</v>
      </c>
      <c r="E1793">
        <v>39</v>
      </c>
      <c r="F1793" t="s">
        <v>6</v>
      </c>
      <c r="G1793" s="19">
        <v>10</v>
      </c>
      <c r="H1793" t="s">
        <v>64</v>
      </c>
      <c r="I1793">
        <v>2023</v>
      </c>
    </row>
    <row r="1794" spans="1:9" x14ac:dyDescent="0.3">
      <c r="A1794">
        <v>203237584</v>
      </c>
      <c r="B1794" s="1">
        <v>45036</v>
      </c>
      <c r="C1794" s="1">
        <v>45041</v>
      </c>
      <c r="D1794" t="s">
        <v>7</v>
      </c>
      <c r="E1794">
        <v>39</v>
      </c>
      <c r="F1794" t="s">
        <v>6</v>
      </c>
      <c r="G1794" s="19">
        <v>5</v>
      </c>
      <c r="H1794" t="s">
        <v>64</v>
      </c>
      <c r="I1794">
        <v>2023</v>
      </c>
    </row>
    <row r="1795" spans="1:9" x14ac:dyDescent="0.3">
      <c r="A1795">
        <v>213179140</v>
      </c>
      <c r="B1795" s="1">
        <v>45036</v>
      </c>
      <c r="C1795" s="1">
        <v>45063</v>
      </c>
      <c r="D1795" t="s">
        <v>7</v>
      </c>
      <c r="E1795">
        <v>39</v>
      </c>
      <c r="F1795" t="s">
        <v>6</v>
      </c>
      <c r="G1795" s="19">
        <v>27</v>
      </c>
      <c r="H1795" t="s">
        <v>64</v>
      </c>
      <c r="I1795">
        <v>2023</v>
      </c>
    </row>
    <row r="1796" spans="1:9" x14ac:dyDescent="0.3">
      <c r="A1796">
        <v>211629536</v>
      </c>
      <c r="B1796" s="1">
        <v>45036</v>
      </c>
      <c r="C1796" s="1">
        <v>45073</v>
      </c>
      <c r="D1796" t="s">
        <v>7</v>
      </c>
      <c r="E1796">
        <v>39</v>
      </c>
      <c r="F1796" t="s">
        <v>6</v>
      </c>
      <c r="G1796" s="19">
        <v>37</v>
      </c>
      <c r="H1796" t="s">
        <v>64</v>
      </c>
      <c r="I1796">
        <v>2023</v>
      </c>
    </row>
    <row r="1797" spans="1:9" x14ac:dyDescent="0.3">
      <c r="A1797">
        <v>204953211</v>
      </c>
      <c r="B1797" s="1">
        <v>45036</v>
      </c>
      <c r="C1797" s="1">
        <v>45073</v>
      </c>
      <c r="D1797" t="s">
        <v>7</v>
      </c>
      <c r="E1797">
        <v>39</v>
      </c>
      <c r="F1797" t="s">
        <v>6</v>
      </c>
      <c r="G1797" s="19">
        <v>37</v>
      </c>
      <c r="H1797" t="s">
        <v>64</v>
      </c>
      <c r="I1797">
        <v>2023</v>
      </c>
    </row>
    <row r="1798" spans="1:9" x14ac:dyDescent="0.3">
      <c r="A1798">
        <v>111394466</v>
      </c>
      <c r="B1798" s="1">
        <v>45036</v>
      </c>
      <c r="C1798" s="1">
        <v>45099</v>
      </c>
      <c r="D1798" t="s">
        <v>7</v>
      </c>
      <c r="E1798">
        <v>39</v>
      </c>
      <c r="F1798" t="s">
        <v>6</v>
      </c>
      <c r="G1798" s="19">
        <v>63</v>
      </c>
      <c r="H1798" t="s">
        <v>64</v>
      </c>
      <c r="I1798">
        <v>2023</v>
      </c>
    </row>
    <row r="1799" spans="1:9" x14ac:dyDescent="0.3">
      <c r="A1799">
        <v>214107134</v>
      </c>
      <c r="B1799" s="1">
        <v>45037</v>
      </c>
      <c r="D1799" t="s">
        <v>7</v>
      </c>
      <c r="E1799">
        <v>39</v>
      </c>
      <c r="F1799" t="s">
        <v>6</v>
      </c>
      <c r="H1799" t="s">
        <v>65</v>
      </c>
      <c r="I1799">
        <v>2023</v>
      </c>
    </row>
    <row r="1800" spans="1:9" x14ac:dyDescent="0.3">
      <c r="A1800">
        <v>214105034</v>
      </c>
      <c r="B1800" s="1">
        <v>45037</v>
      </c>
      <c r="D1800" t="s">
        <v>7</v>
      </c>
      <c r="E1800">
        <v>39</v>
      </c>
      <c r="F1800" t="s">
        <v>6</v>
      </c>
      <c r="H1800" t="s">
        <v>65</v>
      </c>
      <c r="I1800">
        <v>2023</v>
      </c>
    </row>
    <row r="1801" spans="1:9" x14ac:dyDescent="0.3">
      <c r="A1801">
        <v>214124745</v>
      </c>
      <c r="B1801" s="1">
        <v>45037</v>
      </c>
      <c r="C1801" s="1">
        <v>45176</v>
      </c>
      <c r="D1801" t="s">
        <v>7</v>
      </c>
      <c r="E1801">
        <v>39</v>
      </c>
      <c r="F1801" t="s">
        <v>6</v>
      </c>
      <c r="G1801" s="19">
        <v>139</v>
      </c>
      <c r="H1801" t="s">
        <v>65</v>
      </c>
      <c r="I1801">
        <v>2023</v>
      </c>
    </row>
    <row r="1802" spans="1:9" x14ac:dyDescent="0.3">
      <c r="A1802">
        <v>214107426</v>
      </c>
      <c r="B1802" s="1">
        <v>45037</v>
      </c>
      <c r="C1802" s="1">
        <v>45038</v>
      </c>
      <c r="D1802" t="s">
        <v>8</v>
      </c>
      <c r="E1802">
        <v>39</v>
      </c>
      <c r="F1802" t="s">
        <v>6</v>
      </c>
      <c r="G1802" s="19">
        <v>1</v>
      </c>
      <c r="H1802" t="s">
        <v>65</v>
      </c>
      <c r="I1802">
        <v>2023</v>
      </c>
    </row>
    <row r="1803" spans="1:9" x14ac:dyDescent="0.3">
      <c r="A1803">
        <v>213980322</v>
      </c>
      <c r="B1803" s="1">
        <v>45037</v>
      </c>
      <c r="C1803" s="1">
        <v>45097</v>
      </c>
      <c r="D1803" t="s">
        <v>7</v>
      </c>
      <c r="E1803">
        <v>39</v>
      </c>
      <c r="F1803" t="s">
        <v>6</v>
      </c>
      <c r="G1803" s="19">
        <v>60</v>
      </c>
      <c r="H1803" t="s">
        <v>65</v>
      </c>
      <c r="I1803">
        <v>2023</v>
      </c>
    </row>
    <row r="1804" spans="1:9" x14ac:dyDescent="0.3">
      <c r="A1804">
        <v>213434919</v>
      </c>
      <c r="B1804" s="1">
        <v>45037</v>
      </c>
      <c r="C1804" s="1">
        <v>45037</v>
      </c>
      <c r="D1804" t="s">
        <v>7</v>
      </c>
      <c r="E1804">
        <v>39</v>
      </c>
      <c r="F1804" t="s">
        <v>6</v>
      </c>
      <c r="G1804" s="19">
        <v>0</v>
      </c>
      <c r="H1804" t="s">
        <v>65</v>
      </c>
      <c r="I1804">
        <v>2023</v>
      </c>
    </row>
    <row r="1805" spans="1:9" x14ac:dyDescent="0.3">
      <c r="A1805">
        <v>214129448</v>
      </c>
      <c r="B1805" s="1">
        <v>45037</v>
      </c>
      <c r="C1805" s="1">
        <v>45135</v>
      </c>
      <c r="D1805" t="s">
        <v>7</v>
      </c>
      <c r="E1805">
        <v>39</v>
      </c>
      <c r="F1805" t="s">
        <v>6</v>
      </c>
      <c r="G1805" s="19">
        <v>98</v>
      </c>
      <c r="H1805" t="s">
        <v>65</v>
      </c>
      <c r="I1805">
        <v>2023</v>
      </c>
    </row>
    <row r="1806" spans="1:9" x14ac:dyDescent="0.3">
      <c r="A1806">
        <v>213944536</v>
      </c>
      <c r="B1806" s="1">
        <v>45037</v>
      </c>
      <c r="C1806" s="1">
        <v>45098</v>
      </c>
      <c r="D1806" t="s">
        <v>7</v>
      </c>
      <c r="E1806">
        <v>39</v>
      </c>
      <c r="F1806" t="s">
        <v>6</v>
      </c>
      <c r="G1806" s="19">
        <v>61</v>
      </c>
      <c r="H1806" t="s">
        <v>65</v>
      </c>
      <c r="I1806">
        <v>2023</v>
      </c>
    </row>
    <row r="1807" spans="1:9" x14ac:dyDescent="0.3">
      <c r="A1807">
        <v>214052531</v>
      </c>
      <c r="B1807" s="1">
        <v>45037</v>
      </c>
      <c r="C1807" s="1">
        <v>45166</v>
      </c>
      <c r="D1807" t="s">
        <v>7</v>
      </c>
      <c r="E1807">
        <v>39</v>
      </c>
      <c r="F1807" t="s">
        <v>6</v>
      </c>
      <c r="G1807" s="19">
        <v>129</v>
      </c>
      <c r="H1807" t="s">
        <v>65</v>
      </c>
      <c r="I1807">
        <v>2023</v>
      </c>
    </row>
    <row r="1808" spans="1:9" x14ac:dyDescent="0.3">
      <c r="A1808">
        <v>214196608</v>
      </c>
      <c r="B1808" s="1">
        <v>45038</v>
      </c>
      <c r="D1808" t="s">
        <v>7</v>
      </c>
      <c r="E1808">
        <v>39</v>
      </c>
      <c r="F1808" t="s">
        <v>6</v>
      </c>
      <c r="H1808" t="s">
        <v>66</v>
      </c>
      <c r="I1808">
        <v>2023</v>
      </c>
    </row>
    <row r="1809" spans="1:9" x14ac:dyDescent="0.3">
      <c r="A1809">
        <v>125299295</v>
      </c>
      <c r="B1809" s="1">
        <v>45038</v>
      </c>
      <c r="C1809" s="1">
        <v>45096</v>
      </c>
      <c r="D1809" t="s">
        <v>7</v>
      </c>
      <c r="E1809">
        <v>39</v>
      </c>
      <c r="F1809" t="s">
        <v>6</v>
      </c>
      <c r="G1809" s="19">
        <v>58</v>
      </c>
      <c r="H1809" t="s">
        <v>66</v>
      </c>
      <c r="I1809">
        <v>2023</v>
      </c>
    </row>
    <row r="1810" spans="1:9" x14ac:dyDescent="0.3">
      <c r="A1810">
        <v>214199386</v>
      </c>
      <c r="B1810" s="1">
        <v>45038</v>
      </c>
      <c r="C1810" s="1">
        <v>45053</v>
      </c>
      <c r="D1810" t="s">
        <v>7</v>
      </c>
      <c r="E1810">
        <v>39</v>
      </c>
      <c r="F1810" t="s">
        <v>6</v>
      </c>
      <c r="G1810" s="19">
        <v>15</v>
      </c>
      <c r="H1810" t="s">
        <v>66</v>
      </c>
      <c r="I1810">
        <v>2023</v>
      </c>
    </row>
    <row r="1811" spans="1:9" x14ac:dyDescent="0.3">
      <c r="A1811">
        <v>214191851</v>
      </c>
      <c r="B1811" s="1">
        <v>45038</v>
      </c>
      <c r="C1811" s="1">
        <v>45058</v>
      </c>
      <c r="D1811" t="s">
        <v>7</v>
      </c>
      <c r="E1811">
        <v>39</v>
      </c>
      <c r="F1811" t="s">
        <v>6</v>
      </c>
      <c r="G1811" s="19">
        <v>20</v>
      </c>
      <c r="H1811" t="s">
        <v>66</v>
      </c>
      <c r="I1811">
        <v>2023</v>
      </c>
    </row>
    <row r="1812" spans="1:9" x14ac:dyDescent="0.3">
      <c r="A1812">
        <v>214174478</v>
      </c>
      <c r="B1812" s="1">
        <v>45038</v>
      </c>
      <c r="C1812" s="1">
        <v>45068</v>
      </c>
      <c r="D1812" t="s">
        <v>7</v>
      </c>
      <c r="E1812">
        <v>39</v>
      </c>
      <c r="F1812" t="s">
        <v>6</v>
      </c>
      <c r="G1812" s="19">
        <v>30</v>
      </c>
      <c r="H1812" t="s">
        <v>66</v>
      </c>
      <c r="I1812">
        <v>2023</v>
      </c>
    </row>
    <row r="1813" spans="1:9" x14ac:dyDescent="0.3">
      <c r="A1813">
        <v>214264465</v>
      </c>
      <c r="B1813" s="1">
        <v>45039</v>
      </c>
      <c r="D1813" t="s">
        <v>7</v>
      </c>
      <c r="E1813">
        <v>39</v>
      </c>
      <c r="F1813" t="s">
        <v>6</v>
      </c>
      <c r="H1813" t="s">
        <v>60</v>
      </c>
      <c r="I1813">
        <v>2023</v>
      </c>
    </row>
    <row r="1814" spans="1:9" x14ac:dyDescent="0.3">
      <c r="A1814">
        <v>214261616</v>
      </c>
      <c r="B1814" s="1">
        <v>45039</v>
      </c>
      <c r="D1814" t="s">
        <v>7</v>
      </c>
      <c r="E1814">
        <v>39</v>
      </c>
      <c r="F1814" t="s">
        <v>6</v>
      </c>
      <c r="H1814" t="s">
        <v>60</v>
      </c>
      <c r="I1814">
        <v>2023</v>
      </c>
    </row>
    <row r="1815" spans="1:9" x14ac:dyDescent="0.3">
      <c r="A1815">
        <v>214178644</v>
      </c>
      <c r="B1815" s="1">
        <v>45039</v>
      </c>
      <c r="D1815" t="s">
        <v>7</v>
      </c>
      <c r="E1815">
        <v>39</v>
      </c>
      <c r="F1815" t="s">
        <v>6</v>
      </c>
      <c r="H1815" t="s">
        <v>60</v>
      </c>
      <c r="I1815">
        <v>2023</v>
      </c>
    </row>
    <row r="1816" spans="1:9" x14ac:dyDescent="0.3">
      <c r="A1816">
        <v>214202809</v>
      </c>
      <c r="B1816" s="1">
        <v>45039</v>
      </c>
      <c r="C1816" s="1">
        <v>45068</v>
      </c>
      <c r="D1816" t="s">
        <v>7</v>
      </c>
      <c r="E1816">
        <v>39</v>
      </c>
      <c r="F1816" t="s">
        <v>6</v>
      </c>
      <c r="G1816" s="19">
        <v>29</v>
      </c>
      <c r="H1816" t="s">
        <v>60</v>
      </c>
      <c r="I1816">
        <v>2023</v>
      </c>
    </row>
    <row r="1817" spans="1:9" x14ac:dyDescent="0.3">
      <c r="A1817">
        <v>214220188</v>
      </c>
      <c r="B1817" s="1">
        <v>45040</v>
      </c>
      <c r="D1817" t="s">
        <v>7</v>
      </c>
      <c r="E1817">
        <v>39</v>
      </c>
      <c r="F1817" t="s">
        <v>6</v>
      </c>
      <c r="H1817" t="s">
        <v>61</v>
      </c>
      <c r="I1817">
        <v>2023</v>
      </c>
    </row>
    <row r="1818" spans="1:9" x14ac:dyDescent="0.3">
      <c r="A1818">
        <v>212113435</v>
      </c>
      <c r="B1818" s="1">
        <v>45040</v>
      </c>
      <c r="D1818" t="s">
        <v>7</v>
      </c>
      <c r="E1818">
        <v>39</v>
      </c>
      <c r="F1818" t="s">
        <v>6</v>
      </c>
      <c r="H1818" t="s">
        <v>61</v>
      </c>
      <c r="I1818">
        <v>2023</v>
      </c>
    </row>
    <row r="1819" spans="1:9" x14ac:dyDescent="0.3">
      <c r="A1819">
        <v>213431638</v>
      </c>
      <c r="B1819" s="1">
        <v>45040</v>
      </c>
      <c r="D1819" t="s">
        <v>7</v>
      </c>
      <c r="E1819">
        <v>39</v>
      </c>
      <c r="F1819" t="s">
        <v>6</v>
      </c>
      <c r="H1819" t="s">
        <v>61</v>
      </c>
      <c r="I1819">
        <v>2023</v>
      </c>
    </row>
    <row r="1820" spans="1:9" x14ac:dyDescent="0.3">
      <c r="A1820">
        <v>214102994</v>
      </c>
      <c r="B1820" s="1">
        <v>45040</v>
      </c>
      <c r="D1820" t="s">
        <v>7</v>
      </c>
      <c r="E1820">
        <v>39</v>
      </c>
      <c r="F1820" t="s">
        <v>6</v>
      </c>
      <c r="H1820" t="s">
        <v>61</v>
      </c>
      <c r="I1820">
        <v>2023</v>
      </c>
    </row>
    <row r="1821" spans="1:9" x14ac:dyDescent="0.3">
      <c r="A1821">
        <v>177266058</v>
      </c>
      <c r="B1821" s="1">
        <v>45040</v>
      </c>
      <c r="D1821" t="s">
        <v>7</v>
      </c>
      <c r="E1821">
        <v>39</v>
      </c>
      <c r="F1821" t="s">
        <v>6</v>
      </c>
      <c r="H1821" t="s">
        <v>61</v>
      </c>
      <c r="I1821">
        <v>2023</v>
      </c>
    </row>
    <row r="1822" spans="1:9" x14ac:dyDescent="0.3">
      <c r="A1822">
        <v>116060198</v>
      </c>
      <c r="B1822" s="1">
        <v>45040</v>
      </c>
      <c r="D1822" t="s">
        <v>7</v>
      </c>
      <c r="E1822">
        <v>39</v>
      </c>
      <c r="F1822" t="s">
        <v>6</v>
      </c>
      <c r="H1822" t="s">
        <v>61</v>
      </c>
      <c r="I1822">
        <v>2023</v>
      </c>
    </row>
    <row r="1823" spans="1:9" x14ac:dyDescent="0.3">
      <c r="A1823">
        <v>214312843</v>
      </c>
      <c r="B1823" s="1">
        <v>45040</v>
      </c>
      <c r="D1823" t="s">
        <v>7</v>
      </c>
      <c r="E1823">
        <v>39</v>
      </c>
      <c r="F1823" t="s">
        <v>6</v>
      </c>
      <c r="H1823" t="s">
        <v>61</v>
      </c>
      <c r="I1823">
        <v>2023</v>
      </c>
    </row>
    <row r="1824" spans="1:9" x14ac:dyDescent="0.3">
      <c r="A1824">
        <v>156245288</v>
      </c>
      <c r="B1824" s="1">
        <v>45040</v>
      </c>
      <c r="C1824" s="1">
        <v>45057</v>
      </c>
      <c r="D1824" t="s">
        <v>7</v>
      </c>
      <c r="E1824">
        <v>39</v>
      </c>
      <c r="F1824" t="s">
        <v>6</v>
      </c>
      <c r="G1824" s="19">
        <v>17</v>
      </c>
      <c r="H1824" t="s">
        <v>61</v>
      </c>
      <c r="I1824">
        <v>2023</v>
      </c>
    </row>
    <row r="1825" spans="1:9" x14ac:dyDescent="0.3">
      <c r="A1825">
        <v>148869972</v>
      </c>
      <c r="B1825" s="1">
        <v>45040</v>
      </c>
      <c r="C1825" s="1">
        <v>45056</v>
      </c>
      <c r="D1825" t="s">
        <v>7</v>
      </c>
      <c r="E1825">
        <v>39</v>
      </c>
      <c r="F1825" t="s">
        <v>6</v>
      </c>
      <c r="G1825" s="19">
        <v>16</v>
      </c>
      <c r="H1825" t="s">
        <v>61</v>
      </c>
      <c r="I1825">
        <v>2023</v>
      </c>
    </row>
    <row r="1826" spans="1:9" x14ac:dyDescent="0.3">
      <c r="A1826">
        <v>156186115</v>
      </c>
      <c r="B1826" s="1">
        <v>45040</v>
      </c>
      <c r="C1826" s="1">
        <v>45063</v>
      </c>
      <c r="D1826" t="s">
        <v>7</v>
      </c>
      <c r="E1826">
        <v>39</v>
      </c>
      <c r="F1826" t="s">
        <v>6</v>
      </c>
      <c r="G1826" s="19">
        <v>23</v>
      </c>
      <c r="H1826" t="s">
        <v>61</v>
      </c>
      <c r="I1826">
        <v>2023</v>
      </c>
    </row>
    <row r="1827" spans="1:9" x14ac:dyDescent="0.3">
      <c r="A1827">
        <v>207235755</v>
      </c>
      <c r="B1827" s="1">
        <v>45040</v>
      </c>
      <c r="C1827" s="1">
        <v>45068</v>
      </c>
      <c r="D1827" t="s">
        <v>7</v>
      </c>
      <c r="E1827">
        <v>39</v>
      </c>
      <c r="F1827" t="s">
        <v>6</v>
      </c>
      <c r="G1827" s="19">
        <v>28</v>
      </c>
      <c r="H1827" t="s">
        <v>61</v>
      </c>
      <c r="I1827">
        <v>2023</v>
      </c>
    </row>
    <row r="1828" spans="1:9" x14ac:dyDescent="0.3">
      <c r="A1828">
        <v>169235213</v>
      </c>
      <c r="B1828" s="1">
        <v>45040</v>
      </c>
      <c r="C1828" s="1">
        <v>45077</v>
      </c>
      <c r="D1828" t="s">
        <v>7</v>
      </c>
      <c r="E1828">
        <v>39</v>
      </c>
      <c r="F1828" t="s">
        <v>6</v>
      </c>
      <c r="G1828" s="19">
        <v>37</v>
      </c>
      <c r="H1828" t="s">
        <v>61</v>
      </c>
      <c r="I1828">
        <v>2023</v>
      </c>
    </row>
    <row r="1829" spans="1:9" x14ac:dyDescent="0.3">
      <c r="A1829">
        <v>213692152</v>
      </c>
      <c r="B1829" s="1">
        <v>45040</v>
      </c>
      <c r="C1829" s="1">
        <v>45071</v>
      </c>
      <c r="D1829" t="s">
        <v>7</v>
      </c>
      <c r="E1829">
        <v>39</v>
      </c>
      <c r="F1829" t="s">
        <v>6</v>
      </c>
      <c r="G1829" s="19">
        <v>31</v>
      </c>
      <c r="H1829" t="s">
        <v>61</v>
      </c>
      <c r="I1829">
        <v>2023</v>
      </c>
    </row>
    <row r="1830" spans="1:9" x14ac:dyDescent="0.3">
      <c r="A1830">
        <v>214352003</v>
      </c>
      <c r="B1830" s="1">
        <v>45040</v>
      </c>
      <c r="C1830" s="1">
        <v>45161</v>
      </c>
      <c r="D1830" t="s">
        <v>7</v>
      </c>
      <c r="E1830">
        <v>39</v>
      </c>
      <c r="F1830" t="s">
        <v>6</v>
      </c>
      <c r="G1830" s="19">
        <v>121</v>
      </c>
      <c r="H1830" t="s">
        <v>61</v>
      </c>
      <c r="I1830">
        <v>2023</v>
      </c>
    </row>
    <row r="1831" spans="1:9" x14ac:dyDescent="0.3">
      <c r="A1831">
        <v>139691790</v>
      </c>
      <c r="B1831" s="1">
        <v>45041</v>
      </c>
      <c r="C1831" s="1">
        <v>45102</v>
      </c>
      <c r="D1831" t="s">
        <v>7</v>
      </c>
      <c r="E1831">
        <v>39</v>
      </c>
      <c r="F1831" t="s">
        <v>6</v>
      </c>
      <c r="G1831" s="19">
        <v>61</v>
      </c>
      <c r="H1831" t="s">
        <v>62</v>
      </c>
      <c r="I1831">
        <v>2023</v>
      </c>
    </row>
    <row r="1832" spans="1:9" x14ac:dyDescent="0.3">
      <c r="A1832">
        <v>210646453</v>
      </c>
      <c r="B1832" s="1">
        <v>45041</v>
      </c>
      <c r="C1832" s="1">
        <v>45101</v>
      </c>
      <c r="D1832" t="s">
        <v>7</v>
      </c>
      <c r="E1832">
        <v>39</v>
      </c>
      <c r="F1832" t="s">
        <v>6</v>
      </c>
      <c r="G1832" s="19">
        <v>60</v>
      </c>
      <c r="H1832" t="s">
        <v>62</v>
      </c>
      <c r="I1832">
        <v>2023</v>
      </c>
    </row>
    <row r="1833" spans="1:9" x14ac:dyDescent="0.3">
      <c r="A1833">
        <v>206891005</v>
      </c>
      <c r="B1833" s="1">
        <v>45041</v>
      </c>
      <c r="C1833" s="1">
        <v>45063</v>
      </c>
      <c r="D1833" t="s">
        <v>7</v>
      </c>
      <c r="E1833">
        <v>39</v>
      </c>
      <c r="F1833" t="s">
        <v>6</v>
      </c>
      <c r="G1833" s="19">
        <v>22</v>
      </c>
      <c r="H1833" t="s">
        <v>62</v>
      </c>
      <c r="I1833">
        <v>2023</v>
      </c>
    </row>
    <row r="1834" spans="1:9" x14ac:dyDescent="0.3">
      <c r="A1834">
        <v>212293354</v>
      </c>
      <c r="B1834" s="1">
        <v>45041</v>
      </c>
      <c r="C1834" s="1">
        <v>45041</v>
      </c>
      <c r="D1834" t="s">
        <v>7</v>
      </c>
      <c r="E1834">
        <v>39</v>
      </c>
      <c r="F1834" t="s">
        <v>6</v>
      </c>
      <c r="G1834" s="19">
        <v>0</v>
      </c>
      <c r="H1834" t="s">
        <v>62</v>
      </c>
      <c r="I1834">
        <v>2023</v>
      </c>
    </row>
    <row r="1835" spans="1:9" x14ac:dyDescent="0.3">
      <c r="A1835">
        <v>214464069</v>
      </c>
      <c r="B1835" s="1">
        <v>45042</v>
      </c>
      <c r="D1835" t="s">
        <v>7</v>
      </c>
      <c r="E1835">
        <v>39</v>
      </c>
      <c r="F1835" t="s">
        <v>6</v>
      </c>
      <c r="H1835" t="s">
        <v>63</v>
      </c>
      <c r="I1835">
        <v>2023</v>
      </c>
    </row>
    <row r="1836" spans="1:9" x14ac:dyDescent="0.3">
      <c r="A1836">
        <v>214446543</v>
      </c>
      <c r="B1836" s="1">
        <v>45042</v>
      </c>
      <c r="D1836" t="s">
        <v>7</v>
      </c>
      <c r="E1836">
        <v>39</v>
      </c>
      <c r="F1836" t="s">
        <v>6</v>
      </c>
      <c r="H1836" t="s">
        <v>63</v>
      </c>
      <c r="I1836">
        <v>2023</v>
      </c>
    </row>
    <row r="1837" spans="1:9" x14ac:dyDescent="0.3">
      <c r="A1837">
        <v>212376935</v>
      </c>
      <c r="B1837" s="1">
        <v>45042</v>
      </c>
      <c r="C1837" s="1">
        <v>45089</v>
      </c>
      <c r="D1837" t="s">
        <v>7</v>
      </c>
      <c r="E1837">
        <v>39</v>
      </c>
      <c r="F1837" t="s">
        <v>6</v>
      </c>
      <c r="G1837" s="19">
        <v>47</v>
      </c>
      <c r="H1837" t="s">
        <v>63</v>
      </c>
      <c r="I1837">
        <v>2023</v>
      </c>
    </row>
    <row r="1838" spans="1:9" x14ac:dyDescent="0.3">
      <c r="A1838">
        <v>173118928</v>
      </c>
      <c r="B1838" s="1">
        <v>45042</v>
      </c>
      <c r="C1838" s="1">
        <v>45079</v>
      </c>
      <c r="D1838" t="s">
        <v>7</v>
      </c>
      <c r="E1838">
        <v>39</v>
      </c>
      <c r="F1838" t="s">
        <v>6</v>
      </c>
      <c r="G1838" s="19">
        <v>37</v>
      </c>
      <c r="H1838" t="s">
        <v>63</v>
      </c>
      <c r="I1838">
        <v>2023</v>
      </c>
    </row>
    <row r="1839" spans="1:9" x14ac:dyDescent="0.3">
      <c r="A1839">
        <v>214410106</v>
      </c>
      <c r="B1839" s="1">
        <v>45042</v>
      </c>
      <c r="C1839" s="1">
        <v>45063</v>
      </c>
      <c r="D1839" t="s">
        <v>7</v>
      </c>
      <c r="E1839">
        <v>39</v>
      </c>
      <c r="F1839" t="s">
        <v>6</v>
      </c>
      <c r="G1839" s="19">
        <v>21</v>
      </c>
      <c r="H1839" t="s">
        <v>63</v>
      </c>
      <c r="I1839">
        <v>2023</v>
      </c>
    </row>
    <row r="1840" spans="1:9" x14ac:dyDescent="0.3">
      <c r="A1840">
        <v>214093520</v>
      </c>
      <c r="B1840" s="1">
        <v>45042</v>
      </c>
      <c r="C1840" s="1">
        <v>45070</v>
      </c>
      <c r="D1840" t="s">
        <v>7</v>
      </c>
      <c r="E1840">
        <v>39</v>
      </c>
      <c r="F1840" t="s">
        <v>6</v>
      </c>
      <c r="G1840" s="19">
        <v>28</v>
      </c>
      <c r="H1840" t="s">
        <v>63</v>
      </c>
      <c r="I1840">
        <v>2023</v>
      </c>
    </row>
    <row r="1841" spans="1:9" x14ac:dyDescent="0.3">
      <c r="A1841">
        <v>214441521</v>
      </c>
      <c r="B1841" s="1">
        <v>45042</v>
      </c>
      <c r="C1841" s="1">
        <v>45070</v>
      </c>
      <c r="D1841" t="s">
        <v>7</v>
      </c>
      <c r="E1841">
        <v>39</v>
      </c>
      <c r="F1841" t="s">
        <v>6</v>
      </c>
      <c r="G1841" s="19">
        <v>28</v>
      </c>
      <c r="H1841" t="s">
        <v>63</v>
      </c>
      <c r="I1841">
        <v>2023</v>
      </c>
    </row>
    <row r="1842" spans="1:9" x14ac:dyDescent="0.3">
      <c r="A1842">
        <v>214519787</v>
      </c>
      <c r="B1842" s="1">
        <v>45043</v>
      </c>
      <c r="D1842" t="s">
        <v>7</v>
      </c>
      <c r="E1842">
        <v>39</v>
      </c>
      <c r="F1842" t="s">
        <v>6</v>
      </c>
      <c r="H1842" t="s">
        <v>64</v>
      </c>
      <c r="I1842">
        <v>2023</v>
      </c>
    </row>
    <row r="1843" spans="1:9" x14ac:dyDescent="0.3">
      <c r="A1843">
        <v>213177724</v>
      </c>
      <c r="B1843" s="1">
        <v>45043</v>
      </c>
      <c r="D1843" t="s">
        <v>7</v>
      </c>
      <c r="E1843">
        <v>39</v>
      </c>
      <c r="F1843" t="s">
        <v>6</v>
      </c>
      <c r="H1843" t="s">
        <v>64</v>
      </c>
      <c r="I1843">
        <v>2023</v>
      </c>
    </row>
    <row r="1844" spans="1:9" x14ac:dyDescent="0.3">
      <c r="A1844">
        <v>213421956</v>
      </c>
      <c r="B1844" s="1">
        <v>45043</v>
      </c>
      <c r="C1844" s="1">
        <v>45044</v>
      </c>
      <c r="D1844" t="s">
        <v>8</v>
      </c>
      <c r="E1844">
        <v>39</v>
      </c>
      <c r="F1844" t="s">
        <v>6</v>
      </c>
      <c r="G1844" s="19">
        <v>1</v>
      </c>
      <c r="H1844" t="s">
        <v>64</v>
      </c>
      <c r="I1844">
        <v>2023</v>
      </c>
    </row>
    <row r="1845" spans="1:9" x14ac:dyDescent="0.3">
      <c r="A1845">
        <v>151094649</v>
      </c>
      <c r="B1845" s="1">
        <v>45043</v>
      </c>
      <c r="C1845" s="1">
        <v>45073</v>
      </c>
      <c r="D1845" t="s">
        <v>7</v>
      </c>
      <c r="E1845">
        <v>39</v>
      </c>
      <c r="F1845" t="s">
        <v>6</v>
      </c>
      <c r="G1845" s="19">
        <v>30</v>
      </c>
      <c r="H1845" t="s">
        <v>64</v>
      </c>
      <c r="I1845">
        <v>2023</v>
      </c>
    </row>
    <row r="1846" spans="1:9" x14ac:dyDescent="0.3">
      <c r="A1846">
        <v>160056180</v>
      </c>
      <c r="B1846" s="1">
        <v>45043</v>
      </c>
      <c r="C1846" s="1">
        <v>45074</v>
      </c>
      <c r="D1846" t="s">
        <v>7</v>
      </c>
      <c r="E1846">
        <v>39</v>
      </c>
      <c r="F1846" t="s">
        <v>6</v>
      </c>
      <c r="G1846" s="19">
        <v>31</v>
      </c>
      <c r="H1846" t="s">
        <v>64</v>
      </c>
      <c r="I1846">
        <v>2023</v>
      </c>
    </row>
    <row r="1847" spans="1:9" x14ac:dyDescent="0.3">
      <c r="A1847">
        <v>166480898</v>
      </c>
      <c r="B1847" s="1">
        <v>45043</v>
      </c>
      <c r="C1847" s="1">
        <v>45071</v>
      </c>
      <c r="D1847" t="s">
        <v>7</v>
      </c>
      <c r="E1847">
        <v>39</v>
      </c>
      <c r="F1847" t="s">
        <v>6</v>
      </c>
      <c r="G1847" s="19">
        <v>28</v>
      </c>
      <c r="H1847" t="s">
        <v>64</v>
      </c>
      <c r="I1847">
        <v>2023</v>
      </c>
    </row>
    <row r="1848" spans="1:9" x14ac:dyDescent="0.3">
      <c r="A1848">
        <v>182085396</v>
      </c>
      <c r="B1848" s="1">
        <v>45043</v>
      </c>
      <c r="C1848" s="1">
        <v>45080</v>
      </c>
      <c r="D1848" t="s">
        <v>7</v>
      </c>
      <c r="E1848">
        <v>39</v>
      </c>
      <c r="F1848" t="s">
        <v>6</v>
      </c>
      <c r="G1848" s="19">
        <v>37</v>
      </c>
      <c r="H1848" t="s">
        <v>64</v>
      </c>
      <c r="I1848">
        <v>2023</v>
      </c>
    </row>
    <row r="1849" spans="1:9" x14ac:dyDescent="0.3">
      <c r="A1849">
        <v>214519010</v>
      </c>
      <c r="B1849" s="1">
        <v>45043</v>
      </c>
      <c r="C1849" s="1">
        <v>45074</v>
      </c>
      <c r="D1849" t="s">
        <v>7</v>
      </c>
      <c r="E1849">
        <v>39</v>
      </c>
      <c r="F1849" t="s">
        <v>6</v>
      </c>
      <c r="G1849" s="19">
        <v>31</v>
      </c>
      <c r="H1849" t="s">
        <v>64</v>
      </c>
      <c r="I1849">
        <v>2023</v>
      </c>
    </row>
    <row r="1850" spans="1:9" x14ac:dyDescent="0.3">
      <c r="A1850">
        <v>148657735</v>
      </c>
      <c r="B1850" s="1">
        <v>45043</v>
      </c>
      <c r="C1850" s="1">
        <v>45072</v>
      </c>
      <c r="D1850" t="s">
        <v>7</v>
      </c>
      <c r="E1850">
        <v>39</v>
      </c>
      <c r="F1850" t="s">
        <v>6</v>
      </c>
      <c r="G1850" s="19">
        <v>29</v>
      </c>
      <c r="H1850" t="s">
        <v>64</v>
      </c>
      <c r="I1850">
        <v>2023</v>
      </c>
    </row>
    <row r="1851" spans="1:9" x14ac:dyDescent="0.3">
      <c r="A1851">
        <v>214555461</v>
      </c>
      <c r="B1851" s="1">
        <v>45044</v>
      </c>
      <c r="D1851" t="s">
        <v>7</v>
      </c>
      <c r="E1851">
        <v>39</v>
      </c>
      <c r="F1851" t="s">
        <v>6</v>
      </c>
      <c r="H1851" t="s">
        <v>65</v>
      </c>
      <c r="I1851">
        <v>2023</v>
      </c>
    </row>
    <row r="1852" spans="1:9" x14ac:dyDescent="0.3">
      <c r="A1852">
        <v>148042512</v>
      </c>
      <c r="B1852" s="1">
        <v>45044</v>
      </c>
      <c r="D1852" t="s">
        <v>7</v>
      </c>
      <c r="E1852">
        <v>39</v>
      </c>
      <c r="F1852" t="s">
        <v>6</v>
      </c>
      <c r="H1852" t="s">
        <v>65</v>
      </c>
      <c r="I1852">
        <v>2023</v>
      </c>
    </row>
    <row r="1853" spans="1:9" x14ac:dyDescent="0.3">
      <c r="A1853">
        <v>214534717</v>
      </c>
      <c r="B1853" s="1">
        <v>45044</v>
      </c>
      <c r="D1853" t="s">
        <v>7</v>
      </c>
      <c r="E1853">
        <v>39</v>
      </c>
      <c r="F1853" t="s">
        <v>6</v>
      </c>
      <c r="H1853" t="s">
        <v>65</v>
      </c>
      <c r="I1853">
        <v>2023</v>
      </c>
    </row>
    <row r="1854" spans="1:9" x14ac:dyDescent="0.3">
      <c r="A1854">
        <v>211223610</v>
      </c>
      <c r="B1854" s="1">
        <v>45044</v>
      </c>
      <c r="C1854" s="1">
        <v>45112</v>
      </c>
      <c r="D1854" t="s">
        <v>7</v>
      </c>
      <c r="E1854">
        <v>39</v>
      </c>
      <c r="F1854" t="s">
        <v>6</v>
      </c>
      <c r="G1854" s="19">
        <v>68</v>
      </c>
      <c r="H1854" t="s">
        <v>65</v>
      </c>
      <c r="I1854">
        <v>2023</v>
      </c>
    </row>
    <row r="1855" spans="1:9" x14ac:dyDescent="0.3">
      <c r="A1855">
        <v>214444866</v>
      </c>
      <c r="B1855" s="1">
        <v>45044</v>
      </c>
      <c r="C1855" s="1">
        <v>45105</v>
      </c>
      <c r="D1855" t="s">
        <v>7</v>
      </c>
      <c r="E1855">
        <v>39</v>
      </c>
      <c r="F1855" t="s">
        <v>6</v>
      </c>
      <c r="G1855" s="19">
        <v>61</v>
      </c>
      <c r="H1855" t="s">
        <v>65</v>
      </c>
      <c r="I1855">
        <v>2023</v>
      </c>
    </row>
    <row r="1856" spans="1:9" x14ac:dyDescent="0.3">
      <c r="A1856">
        <v>206477826</v>
      </c>
      <c r="B1856" s="1">
        <v>45044</v>
      </c>
      <c r="C1856" s="1">
        <v>45081</v>
      </c>
      <c r="D1856" t="s">
        <v>7</v>
      </c>
      <c r="E1856">
        <v>39</v>
      </c>
      <c r="F1856" t="s">
        <v>6</v>
      </c>
      <c r="G1856" s="19">
        <v>37</v>
      </c>
      <c r="H1856" t="s">
        <v>65</v>
      </c>
      <c r="I1856">
        <v>2023</v>
      </c>
    </row>
    <row r="1857" spans="1:9" x14ac:dyDescent="0.3">
      <c r="A1857">
        <v>214589440</v>
      </c>
      <c r="B1857" s="1">
        <v>45044</v>
      </c>
      <c r="C1857" s="1">
        <v>45074</v>
      </c>
      <c r="D1857" t="s">
        <v>7</v>
      </c>
      <c r="E1857">
        <v>39</v>
      </c>
      <c r="F1857" t="s">
        <v>6</v>
      </c>
      <c r="G1857" s="19">
        <v>30</v>
      </c>
      <c r="H1857" t="s">
        <v>65</v>
      </c>
      <c r="I1857">
        <v>2023</v>
      </c>
    </row>
    <row r="1858" spans="1:9" x14ac:dyDescent="0.3">
      <c r="A1858">
        <v>214516527</v>
      </c>
      <c r="B1858" s="1">
        <v>45044</v>
      </c>
      <c r="C1858" s="1">
        <v>45075</v>
      </c>
      <c r="D1858" t="s">
        <v>7</v>
      </c>
      <c r="E1858">
        <v>39</v>
      </c>
      <c r="F1858" t="s">
        <v>6</v>
      </c>
      <c r="G1858" s="19">
        <v>31</v>
      </c>
      <c r="H1858" t="s">
        <v>65</v>
      </c>
      <c r="I1858">
        <v>2023</v>
      </c>
    </row>
    <row r="1859" spans="1:9" x14ac:dyDescent="0.3">
      <c r="A1859">
        <v>158980862</v>
      </c>
      <c r="B1859" s="1">
        <v>45044</v>
      </c>
      <c r="C1859" s="1">
        <v>45063</v>
      </c>
      <c r="D1859" t="s">
        <v>7</v>
      </c>
      <c r="E1859">
        <v>39</v>
      </c>
      <c r="F1859" t="s">
        <v>6</v>
      </c>
      <c r="G1859" s="19">
        <v>19</v>
      </c>
      <c r="H1859" t="s">
        <v>65</v>
      </c>
      <c r="I1859">
        <v>2023</v>
      </c>
    </row>
    <row r="1860" spans="1:9" x14ac:dyDescent="0.3">
      <c r="A1860">
        <v>144769275</v>
      </c>
      <c r="B1860" s="1">
        <v>45044</v>
      </c>
      <c r="C1860" s="1">
        <v>45044</v>
      </c>
      <c r="D1860" t="s">
        <v>7</v>
      </c>
      <c r="E1860">
        <v>39</v>
      </c>
      <c r="F1860" t="s">
        <v>6</v>
      </c>
      <c r="G1860" s="19">
        <v>0</v>
      </c>
      <c r="H1860" t="s">
        <v>65</v>
      </c>
      <c r="I1860">
        <v>2023</v>
      </c>
    </row>
    <row r="1861" spans="1:9" x14ac:dyDescent="0.3">
      <c r="A1861">
        <v>214508205</v>
      </c>
      <c r="B1861" s="1">
        <v>45044</v>
      </c>
      <c r="C1861" s="1">
        <v>45111</v>
      </c>
      <c r="D1861" t="s">
        <v>7</v>
      </c>
      <c r="E1861">
        <v>39</v>
      </c>
      <c r="F1861" t="s">
        <v>6</v>
      </c>
      <c r="G1861" s="19">
        <v>67</v>
      </c>
      <c r="H1861" t="s">
        <v>65</v>
      </c>
      <c r="I1861">
        <v>2023</v>
      </c>
    </row>
    <row r="1862" spans="1:9" x14ac:dyDescent="0.3">
      <c r="A1862">
        <v>156178486</v>
      </c>
      <c r="B1862" s="1">
        <v>45045</v>
      </c>
      <c r="D1862" t="s">
        <v>7</v>
      </c>
      <c r="E1862">
        <v>39</v>
      </c>
      <c r="F1862" t="s">
        <v>6</v>
      </c>
      <c r="H1862" t="s">
        <v>66</v>
      </c>
      <c r="I1862">
        <v>2023</v>
      </c>
    </row>
    <row r="1863" spans="1:9" x14ac:dyDescent="0.3">
      <c r="A1863">
        <v>214584458</v>
      </c>
      <c r="B1863" s="1">
        <v>45045</v>
      </c>
      <c r="C1863" s="1">
        <v>45127</v>
      </c>
      <c r="D1863" t="s">
        <v>7</v>
      </c>
      <c r="E1863">
        <v>39</v>
      </c>
      <c r="F1863" t="s">
        <v>6</v>
      </c>
      <c r="G1863" s="19">
        <v>82</v>
      </c>
      <c r="H1863" t="s">
        <v>66</v>
      </c>
      <c r="I1863">
        <v>2023</v>
      </c>
    </row>
    <row r="1864" spans="1:9" x14ac:dyDescent="0.3">
      <c r="A1864">
        <v>181935574</v>
      </c>
      <c r="B1864" s="1">
        <v>45046</v>
      </c>
      <c r="D1864" t="s">
        <v>7</v>
      </c>
      <c r="E1864">
        <v>39</v>
      </c>
      <c r="F1864" t="s">
        <v>6</v>
      </c>
      <c r="H1864" t="s">
        <v>60</v>
      </c>
      <c r="I1864">
        <v>2023</v>
      </c>
    </row>
    <row r="1865" spans="1:9" x14ac:dyDescent="0.3">
      <c r="A1865">
        <v>153006404</v>
      </c>
      <c r="B1865" s="1">
        <v>45046</v>
      </c>
      <c r="C1865" s="1">
        <v>45066</v>
      </c>
      <c r="D1865" t="s">
        <v>7</v>
      </c>
      <c r="E1865">
        <v>39</v>
      </c>
      <c r="F1865" t="s">
        <v>6</v>
      </c>
      <c r="G1865" s="19">
        <v>20</v>
      </c>
      <c r="H1865" t="s">
        <v>60</v>
      </c>
      <c r="I1865">
        <v>2023</v>
      </c>
    </row>
    <row r="1866" spans="1:9" x14ac:dyDescent="0.3">
      <c r="A1866">
        <v>214423891</v>
      </c>
      <c r="B1866" s="1">
        <v>45046</v>
      </c>
      <c r="C1866" s="1">
        <v>45079</v>
      </c>
      <c r="D1866" t="s">
        <v>7</v>
      </c>
      <c r="E1866">
        <v>39</v>
      </c>
      <c r="F1866" t="s">
        <v>6</v>
      </c>
      <c r="G1866" s="19">
        <v>33</v>
      </c>
      <c r="H1866" t="s">
        <v>60</v>
      </c>
      <c r="I1866">
        <v>2023</v>
      </c>
    </row>
    <row r="1867" spans="1:9" x14ac:dyDescent="0.3">
      <c r="A1867">
        <v>214510838</v>
      </c>
      <c r="B1867" s="1">
        <v>45046</v>
      </c>
      <c r="C1867" s="1">
        <v>45083</v>
      </c>
      <c r="D1867" t="s">
        <v>7</v>
      </c>
      <c r="E1867">
        <v>39</v>
      </c>
      <c r="F1867" t="s">
        <v>6</v>
      </c>
      <c r="G1867" s="19">
        <v>37</v>
      </c>
      <c r="H1867" t="s">
        <v>60</v>
      </c>
      <c r="I1867">
        <v>2023</v>
      </c>
    </row>
    <row r="1868" spans="1:9" x14ac:dyDescent="0.3">
      <c r="A1868">
        <v>211383216</v>
      </c>
      <c r="B1868" s="1">
        <v>45046</v>
      </c>
      <c r="C1868" s="1">
        <v>45048</v>
      </c>
      <c r="D1868" t="s">
        <v>7</v>
      </c>
      <c r="E1868">
        <v>39</v>
      </c>
      <c r="F1868" t="s">
        <v>6</v>
      </c>
      <c r="G1868" s="19">
        <v>2</v>
      </c>
      <c r="H1868" t="s">
        <v>60</v>
      </c>
      <c r="I1868">
        <v>2023</v>
      </c>
    </row>
    <row r="1869" spans="1:9" x14ac:dyDescent="0.3">
      <c r="A1869">
        <v>214641741</v>
      </c>
      <c r="B1869" s="1">
        <v>45046</v>
      </c>
      <c r="C1869" s="1">
        <v>45047</v>
      </c>
      <c r="D1869" t="s">
        <v>7</v>
      </c>
      <c r="E1869">
        <v>39</v>
      </c>
      <c r="F1869" t="s">
        <v>6</v>
      </c>
      <c r="G1869" s="19">
        <v>1</v>
      </c>
      <c r="H1869" t="s">
        <v>60</v>
      </c>
      <c r="I1869">
        <v>2023</v>
      </c>
    </row>
    <row r="1870" spans="1:9" x14ac:dyDescent="0.3">
      <c r="A1870">
        <v>214643362</v>
      </c>
      <c r="B1870" s="1">
        <v>45046</v>
      </c>
      <c r="C1870" s="1">
        <v>45107</v>
      </c>
      <c r="D1870" t="s">
        <v>7</v>
      </c>
      <c r="E1870">
        <v>39</v>
      </c>
      <c r="F1870" t="s">
        <v>6</v>
      </c>
      <c r="G1870" s="19">
        <v>61</v>
      </c>
      <c r="H1870" t="s">
        <v>60</v>
      </c>
      <c r="I1870">
        <v>2023</v>
      </c>
    </row>
    <row r="1871" spans="1:9" x14ac:dyDescent="0.3">
      <c r="A1871">
        <v>214419772</v>
      </c>
      <c r="B1871" s="1">
        <v>45047</v>
      </c>
      <c r="D1871" t="s">
        <v>7</v>
      </c>
      <c r="E1871">
        <v>39</v>
      </c>
      <c r="F1871" t="s">
        <v>6</v>
      </c>
      <c r="H1871" t="s">
        <v>61</v>
      </c>
      <c r="I1871">
        <v>2023</v>
      </c>
    </row>
    <row r="1872" spans="1:9" x14ac:dyDescent="0.3">
      <c r="A1872">
        <v>213227787</v>
      </c>
      <c r="B1872" s="1">
        <v>45047</v>
      </c>
      <c r="D1872" t="s">
        <v>7</v>
      </c>
      <c r="E1872">
        <v>39</v>
      </c>
      <c r="F1872" t="s">
        <v>6</v>
      </c>
      <c r="H1872" t="s">
        <v>61</v>
      </c>
      <c r="I1872">
        <v>2023</v>
      </c>
    </row>
    <row r="1873" spans="1:9" x14ac:dyDescent="0.3">
      <c r="A1873">
        <v>214666572</v>
      </c>
      <c r="B1873" s="1">
        <v>45047</v>
      </c>
      <c r="D1873" t="s">
        <v>7</v>
      </c>
      <c r="E1873">
        <v>39</v>
      </c>
      <c r="F1873" t="s">
        <v>6</v>
      </c>
      <c r="H1873" t="s">
        <v>61</v>
      </c>
      <c r="I1873">
        <v>2023</v>
      </c>
    </row>
    <row r="1874" spans="1:9" x14ac:dyDescent="0.3">
      <c r="A1874">
        <v>126780716</v>
      </c>
      <c r="B1874" s="1">
        <v>45047</v>
      </c>
      <c r="C1874" s="1">
        <v>45078</v>
      </c>
      <c r="D1874" t="s">
        <v>7</v>
      </c>
      <c r="E1874">
        <v>39</v>
      </c>
      <c r="F1874" t="s">
        <v>6</v>
      </c>
      <c r="G1874" s="19">
        <v>31</v>
      </c>
      <c r="H1874" t="s">
        <v>61</v>
      </c>
      <c r="I1874">
        <v>2023</v>
      </c>
    </row>
    <row r="1875" spans="1:9" x14ac:dyDescent="0.3">
      <c r="A1875">
        <v>214682826</v>
      </c>
      <c r="B1875" s="1">
        <v>45047</v>
      </c>
      <c r="C1875" s="1">
        <v>45078</v>
      </c>
      <c r="D1875" t="s">
        <v>7</v>
      </c>
      <c r="E1875">
        <v>39</v>
      </c>
      <c r="F1875" t="s">
        <v>6</v>
      </c>
      <c r="G1875" s="19">
        <v>31</v>
      </c>
      <c r="H1875" t="s">
        <v>61</v>
      </c>
      <c r="I1875">
        <v>2023</v>
      </c>
    </row>
    <row r="1876" spans="1:9" x14ac:dyDescent="0.3">
      <c r="A1876">
        <v>212392663</v>
      </c>
      <c r="B1876" s="1">
        <v>45047</v>
      </c>
      <c r="C1876" s="1">
        <v>45070</v>
      </c>
      <c r="D1876" t="s">
        <v>7</v>
      </c>
      <c r="E1876">
        <v>39</v>
      </c>
      <c r="F1876" t="s">
        <v>6</v>
      </c>
      <c r="G1876" s="19">
        <v>23</v>
      </c>
      <c r="H1876" t="s">
        <v>61</v>
      </c>
      <c r="I1876">
        <v>2023</v>
      </c>
    </row>
    <row r="1877" spans="1:9" x14ac:dyDescent="0.3">
      <c r="A1877">
        <v>147118133</v>
      </c>
      <c r="B1877" s="1">
        <v>45047</v>
      </c>
      <c r="C1877" s="1">
        <v>45146</v>
      </c>
      <c r="D1877" t="s">
        <v>7</v>
      </c>
      <c r="E1877">
        <v>39</v>
      </c>
      <c r="F1877" t="s">
        <v>6</v>
      </c>
      <c r="G1877" s="19">
        <v>99</v>
      </c>
      <c r="H1877" t="s">
        <v>61</v>
      </c>
      <c r="I1877">
        <v>2023</v>
      </c>
    </row>
    <row r="1878" spans="1:9" x14ac:dyDescent="0.3">
      <c r="A1878">
        <v>157031617</v>
      </c>
      <c r="B1878" s="1">
        <v>45048</v>
      </c>
      <c r="D1878" t="s">
        <v>7</v>
      </c>
      <c r="E1878">
        <v>39</v>
      </c>
      <c r="F1878" t="s">
        <v>6</v>
      </c>
      <c r="H1878" t="s">
        <v>62</v>
      </c>
      <c r="I1878">
        <v>2023</v>
      </c>
    </row>
    <row r="1879" spans="1:9" x14ac:dyDescent="0.3">
      <c r="A1879">
        <v>211958379</v>
      </c>
      <c r="B1879" s="1">
        <v>45048</v>
      </c>
      <c r="D1879" t="s">
        <v>7</v>
      </c>
      <c r="E1879">
        <v>39</v>
      </c>
      <c r="F1879" t="s">
        <v>6</v>
      </c>
      <c r="H1879" t="s">
        <v>62</v>
      </c>
      <c r="I1879">
        <v>2023</v>
      </c>
    </row>
    <row r="1880" spans="1:9" x14ac:dyDescent="0.3">
      <c r="A1880">
        <v>152310842</v>
      </c>
      <c r="B1880" s="1">
        <v>45048</v>
      </c>
      <c r="D1880" t="s">
        <v>7</v>
      </c>
      <c r="E1880">
        <v>39</v>
      </c>
      <c r="F1880" t="s">
        <v>6</v>
      </c>
      <c r="H1880" t="s">
        <v>62</v>
      </c>
      <c r="I1880">
        <v>2023</v>
      </c>
    </row>
    <row r="1881" spans="1:9" x14ac:dyDescent="0.3">
      <c r="A1881">
        <v>214711907</v>
      </c>
      <c r="B1881" s="1">
        <v>45048</v>
      </c>
      <c r="D1881" t="s">
        <v>7</v>
      </c>
      <c r="E1881">
        <v>39</v>
      </c>
      <c r="F1881" t="s">
        <v>6</v>
      </c>
      <c r="H1881" t="s">
        <v>62</v>
      </c>
      <c r="I1881">
        <v>2023</v>
      </c>
    </row>
    <row r="1882" spans="1:9" x14ac:dyDescent="0.3">
      <c r="A1882">
        <v>150342446</v>
      </c>
      <c r="B1882" s="1">
        <v>45048</v>
      </c>
      <c r="C1882" s="1">
        <v>45049</v>
      </c>
      <c r="D1882" t="s">
        <v>7</v>
      </c>
      <c r="E1882">
        <v>39</v>
      </c>
      <c r="F1882" t="s">
        <v>6</v>
      </c>
      <c r="G1882" s="19">
        <v>1</v>
      </c>
      <c r="H1882" t="s">
        <v>62</v>
      </c>
      <c r="I1882">
        <v>2023</v>
      </c>
    </row>
    <row r="1883" spans="1:9" x14ac:dyDescent="0.3">
      <c r="A1883">
        <v>214741130</v>
      </c>
      <c r="B1883" s="1">
        <v>45048</v>
      </c>
      <c r="C1883" s="1">
        <v>45116</v>
      </c>
      <c r="D1883" t="s">
        <v>7</v>
      </c>
      <c r="E1883">
        <v>39</v>
      </c>
      <c r="F1883" t="s">
        <v>6</v>
      </c>
      <c r="G1883" s="19">
        <v>68</v>
      </c>
      <c r="H1883" t="s">
        <v>62</v>
      </c>
      <c r="I1883">
        <v>2023</v>
      </c>
    </row>
    <row r="1884" spans="1:9" x14ac:dyDescent="0.3">
      <c r="A1884">
        <v>214734037</v>
      </c>
      <c r="B1884" s="1">
        <v>45048</v>
      </c>
      <c r="C1884" s="1">
        <v>45096</v>
      </c>
      <c r="D1884" t="s">
        <v>7</v>
      </c>
      <c r="E1884">
        <v>39</v>
      </c>
      <c r="F1884" t="s">
        <v>6</v>
      </c>
      <c r="G1884" s="19">
        <v>48</v>
      </c>
      <c r="H1884" t="s">
        <v>62</v>
      </c>
      <c r="I1884">
        <v>2023</v>
      </c>
    </row>
    <row r="1885" spans="1:9" x14ac:dyDescent="0.3">
      <c r="A1885">
        <v>214500293</v>
      </c>
      <c r="B1885" s="1">
        <v>45048</v>
      </c>
      <c r="C1885" s="1">
        <v>45083</v>
      </c>
      <c r="D1885" t="s">
        <v>7</v>
      </c>
      <c r="E1885">
        <v>39</v>
      </c>
      <c r="F1885" t="s">
        <v>6</v>
      </c>
      <c r="G1885" s="19">
        <v>35</v>
      </c>
      <c r="H1885" t="s">
        <v>62</v>
      </c>
      <c r="I1885">
        <v>2023</v>
      </c>
    </row>
    <row r="1886" spans="1:9" x14ac:dyDescent="0.3">
      <c r="A1886">
        <v>214587827</v>
      </c>
      <c r="B1886" s="1">
        <v>45048</v>
      </c>
      <c r="C1886" s="1">
        <v>45139</v>
      </c>
      <c r="D1886" t="s">
        <v>7</v>
      </c>
      <c r="E1886">
        <v>39</v>
      </c>
      <c r="F1886" t="s">
        <v>6</v>
      </c>
      <c r="G1886" s="19">
        <v>91</v>
      </c>
      <c r="H1886" t="s">
        <v>62</v>
      </c>
      <c r="I1886">
        <v>2023</v>
      </c>
    </row>
    <row r="1887" spans="1:9" x14ac:dyDescent="0.3">
      <c r="A1887">
        <v>214739055</v>
      </c>
      <c r="B1887" s="1">
        <v>45048</v>
      </c>
      <c r="C1887" s="1">
        <v>45147</v>
      </c>
      <c r="D1887" t="s">
        <v>7</v>
      </c>
      <c r="E1887">
        <v>39</v>
      </c>
      <c r="F1887" t="s">
        <v>6</v>
      </c>
      <c r="G1887" s="19">
        <v>99</v>
      </c>
      <c r="H1887" t="s">
        <v>62</v>
      </c>
      <c r="I1887">
        <v>2023</v>
      </c>
    </row>
    <row r="1888" spans="1:9" x14ac:dyDescent="0.3">
      <c r="A1888">
        <v>163103693</v>
      </c>
      <c r="B1888" s="1">
        <v>45048</v>
      </c>
      <c r="C1888" s="1">
        <v>45160</v>
      </c>
      <c r="D1888" t="s">
        <v>7</v>
      </c>
      <c r="E1888">
        <v>39</v>
      </c>
      <c r="F1888" t="s">
        <v>6</v>
      </c>
      <c r="G1888" s="19">
        <v>112</v>
      </c>
      <c r="H1888" t="s">
        <v>62</v>
      </c>
      <c r="I1888">
        <v>2023</v>
      </c>
    </row>
    <row r="1889" spans="1:9" x14ac:dyDescent="0.3">
      <c r="A1889">
        <v>214483378</v>
      </c>
      <c r="B1889" s="1">
        <v>45049</v>
      </c>
      <c r="D1889" t="s">
        <v>7</v>
      </c>
      <c r="E1889">
        <v>39</v>
      </c>
      <c r="F1889" t="s">
        <v>6</v>
      </c>
      <c r="H1889" t="s">
        <v>63</v>
      </c>
      <c r="I1889">
        <v>2023</v>
      </c>
    </row>
    <row r="1890" spans="1:9" x14ac:dyDescent="0.3">
      <c r="A1890">
        <v>157883110</v>
      </c>
      <c r="B1890" s="1">
        <v>45049</v>
      </c>
      <c r="D1890" t="s">
        <v>7</v>
      </c>
      <c r="E1890">
        <v>39</v>
      </c>
      <c r="F1890" t="s">
        <v>6</v>
      </c>
      <c r="H1890" t="s">
        <v>63</v>
      </c>
      <c r="I1890">
        <v>2023</v>
      </c>
    </row>
    <row r="1891" spans="1:9" x14ac:dyDescent="0.3">
      <c r="A1891">
        <v>132424181</v>
      </c>
      <c r="B1891" s="1">
        <v>45049</v>
      </c>
      <c r="C1891" s="1">
        <v>45122</v>
      </c>
      <c r="D1891" t="s">
        <v>7</v>
      </c>
      <c r="E1891">
        <v>39</v>
      </c>
      <c r="F1891" t="s">
        <v>6</v>
      </c>
      <c r="G1891" s="19">
        <v>73</v>
      </c>
      <c r="H1891" t="s">
        <v>63</v>
      </c>
      <c r="I1891">
        <v>2023</v>
      </c>
    </row>
    <row r="1892" spans="1:9" x14ac:dyDescent="0.3">
      <c r="A1892">
        <v>214805206</v>
      </c>
      <c r="B1892" s="1">
        <v>45049</v>
      </c>
      <c r="C1892" s="1">
        <v>45097</v>
      </c>
      <c r="D1892" t="s">
        <v>7</v>
      </c>
      <c r="E1892">
        <v>39</v>
      </c>
      <c r="F1892" t="s">
        <v>6</v>
      </c>
      <c r="G1892" s="19">
        <v>48</v>
      </c>
      <c r="H1892" t="s">
        <v>63</v>
      </c>
      <c r="I1892">
        <v>2023</v>
      </c>
    </row>
    <row r="1893" spans="1:9" x14ac:dyDescent="0.3">
      <c r="A1893">
        <v>214641940</v>
      </c>
      <c r="B1893" s="1">
        <v>45049</v>
      </c>
      <c r="C1893" s="1">
        <v>45087</v>
      </c>
      <c r="D1893" t="s">
        <v>7</v>
      </c>
      <c r="E1893">
        <v>39</v>
      </c>
      <c r="F1893" t="s">
        <v>6</v>
      </c>
      <c r="G1893" s="19">
        <v>38</v>
      </c>
      <c r="H1893" t="s">
        <v>63</v>
      </c>
      <c r="I1893">
        <v>2023</v>
      </c>
    </row>
    <row r="1894" spans="1:9" x14ac:dyDescent="0.3">
      <c r="A1894">
        <v>206112289</v>
      </c>
      <c r="B1894" s="1">
        <v>45049</v>
      </c>
      <c r="C1894" s="1">
        <v>45089</v>
      </c>
      <c r="D1894" t="s">
        <v>7</v>
      </c>
      <c r="E1894">
        <v>39</v>
      </c>
      <c r="F1894" t="s">
        <v>6</v>
      </c>
      <c r="G1894" s="19">
        <v>40</v>
      </c>
      <c r="H1894" t="s">
        <v>63</v>
      </c>
      <c r="I1894">
        <v>2023</v>
      </c>
    </row>
    <row r="1895" spans="1:9" x14ac:dyDescent="0.3">
      <c r="A1895">
        <v>214781323</v>
      </c>
      <c r="B1895" s="1">
        <v>45049</v>
      </c>
      <c r="C1895" s="1">
        <v>45070</v>
      </c>
      <c r="D1895" t="s">
        <v>7</v>
      </c>
      <c r="E1895">
        <v>39</v>
      </c>
      <c r="F1895" t="s">
        <v>6</v>
      </c>
      <c r="G1895" s="19">
        <v>21</v>
      </c>
      <c r="H1895" t="s">
        <v>63</v>
      </c>
      <c r="I1895">
        <v>2023</v>
      </c>
    </row>
    <row r="1896" spans="1:9" x14ac:dyDescent="0.3">
      <c r="A1896">
        <v>214767936</v>
      </c>
      <c r="B1896" s="1">
        <v>45049</v>
      </c>
      <c r="C1896" s="1">
        <v>45049</v>
      </c>
      <c r="D1896" t="s">
        <v>7</v>
      </c>
      <c r="E1896">
        <v>39</v>
      </c>
      <c r="F1896" t="s">
        <v>6</v>
      </c>
      <c r="G1896" s="19">
        <v>0</v>
      </c>
      <c r="H1896" t="s">
        <v>63</v>
      </c>
      <c r="I1896">
        <v>2023</v>
      </c>
    </row>
    <row r="1897" spans="1:9" x14ac:dyDescent="0.3">
      <c r="A1897">
        <v>182023209</v>
      </c>
      <c r="B1897" s="1">
        <v>45049</v>
      </c>
      <c r="C1897" s="1">
        <v>45060</v>
      </c>
      <c r="D1897" t="s">
        <v>7</v>
      </c>
      <c r="E1897">
        <v>39</v>
      </c>
      <c r="F1897" t="s">
        <v>6</v>
      </c>
      <c r="G1897" s="19">
        <v>11</v>
      </c>
      <c r="H1897" t="s">
        <v>63</v>
      </c>
      <c r="I1897">
        <v>2023</v>
      </c>
    </row>
    <row r="1898" spans="1:9" x14ac:dyDescent="0.3">
      <c r="A1898">
        <v>148513036</v>
      </c>
      <c r="B1898" s="1">
        <v>45050</v>
      </c>
      <c r="D1898" t="s">
        <v>7</v>
      </c>
      <c r="E1898">
        <v>39</v>
      </c>
      <c r="F1898" t="s">
        <v>6</v>
      </c>
      <c r="H1898" t="s">
        <v>64</v>
      </c>
      <c r="I1898">
        <v>2023</v>
      </c>
    </row>
    <row r="1899" spans="1:9" x14ac:dyDescent="0.3">
      <c r="A1899">
        <v>157910445</v>
      </c>
      <c r="B1899" s="1">
        <v>45050</v>
      </c>
      <c r="D1899" t="s">
        <v>7</v>
      </c>
      <c r="E1899">
        <v>39</v>
      </c>
      <c r="F1899" t="s">
        <v>6</v>
      </c>
      <c r="H1899" t="s">
        <v>64</v>
      </c>
      <c r="I1899">
        <v>2023</v>
      </c>
    </row>
    <row r="1900" spans="1:9" x14ac:dyDescent="0.3">
      <c r="A1900">
        <v>213810773</v>
      </c>
      <c r="B1900" s="1">
        <v>45050</v>
      </c>
      <c r="C1900" s="1">
        <v>45174</v>
      </c>
      <c r="D1900" t="s">
        <v>7</v>
      </c>
      <c r="E1900">
        <v>39</v>
      </c>
      <c r="F1900" t="s">
        <v>6</v>
      </c>
      <c r="G1900" s="19">
        <v>124</v>
      </c>
      <c r="H1900" t="s">
        <v>64</v>
      </c>
      <c r="I1900">
        <v>2023</v>
      </c>
    </row>
    <row r="1901" spans="1:9" x14ac:dyDescent="0.3">
      <c r="A1901">
        <v>154820233</v>
      </c>
      <c r="B1901" s="1">
        <v>45050</v>
      </c>
      <c r="C1901" s="1">
        <v>45112</v>
      </c>
      <c r="D1901" t="s">
        <v>7</v>
      </c>
      <c r="E1901">
        <v>39</v>
      </c>
      <c r="F1901" t="s">
        <v>6</v>
      </c>
      <c r="G1901" s="19">
        <v>62</v>
      </c>
      <c r="H1901" t="s">
        <v>64</v>
      </c>
      <c r="I1901">
        <v>2023</v>
      </c>
    </row>
    <row r="1902" spans="1:9" x14ac:dyDescent="0.3">
      <c r="A1902">
        <v>214248197</v>
      </c>
      <c r="B1902" s="1">
        <v>45050</v>
      </c>
      <c r="C1902" s="1">
        <v>45079</v>
      </c>
      <c r="D1902" t="s">
        <v>7</v>
      </c>
      <c r="E1902">
        <v>39</v>
      </c>
      <c r="F1902" t="s">
        <v>6</v>
      </c>
      <c r="G1902" s="19">
        <v>29</v>
      </c>
      <c r="H1902" t="s">
        <v>64</v>
      </c>
      <c r="I1902">
        <v>2023</v>
      </c>
    </row>
    <row r="1903" spans="1:9" x14ac:dyDescent="0.3">
      <c r="A1903">
        <v>214818730</v>
      </c>
      <c r="B1903" s="1">
        <v>45050</v>
      </c>
      <c r="C1903" s="1">
        <v>45078</v>
      </c>
      <c r="D1903" t="s">
        <v>7</v>
      </c>
      <c r="E1903">
        <v>39</v>
      </c>
      <c r="F1903" t="s">
        <v>6</v>
      </c>
      <c r="G1903" s="19">
        <v>28</v>
      </c>
      <c r="H1903" t="s">
        <v>64</v>
      </c>
      <c r="I1903">
        <v>2023</v>
      </c>
    </row>
    <row r="1904" spans="1:9" x14ac:dyDescent="0.3">
      <c r="A1904">
        <v>186667733</v>
      </c>
      <c r="B1904" s="1">
        <v>45050</v>
      </c>
      <c r="C1904" s="1">
        <v>45078</v>
      </c>
      <c r="D1904" t="s">
        <v>7</v>
      </c>
      <c r="E1904">
        <v>39</v>
      </c>
      <c r="F1904" t="s">
        <v>6</v>
      </c>
      <c r="G1904" s="19">
        <v>28</v>
      </c>
      <c r="H1904" t="s">
        <v>64</v>
      </c>
      <c r="I1904">
        <v>2023</v>
      </c>
    </row>
    <row r="1905" spans="1:9" x14ac:dyDescent="0.3">
      <c r="A1905">
        <v>214901781</v>
      </c>
      <c r="B1905" s="1">
        <v>45051</v>
      </c>
      <c r="D1905" t="s">
        <v>7</v>
      </c>
      <c r="E1905">
        <v>39</v>
      </c>
      <c r="F1905" t="s">
        <v>6</v>
      </c>
      <c r="H1905" t="s">
        <v>65</v>
      </c>
      <c r="I1905">
        <v>2023</v>
      </c>
    </row>
    <row r="1906" spans="1:9" x14ac:dyDescent="0.3">
      <c r="A1906">
        <v>214884589</v>
      </c>
      <c r="B1906" s="1">
        <v>45051</v>
      </c>
      <c r="D1906" t="s">
        <v>7</v>
      </c>
      <c r="E1906">
        <v>39</v>
      </c>
      <c r="F1906" t="s">
        <v>6</v>
      </c>
      <c r="H1906" t="s">
        <v>65</v>
      </c>
      <c r="I1906">
        <v>2023</v>
      </c>
    </row>
    <row r="1907" spans="1:9" x14ac:dyDescent="0.3">
      <c r="A1907">
        <v>210344586</v>
      </c>
      <c r="B1907" s="1">
        <v>45051</v>
      </c>
      <c r="D1907" t="s">
        <v>7</v>
      </c>
      <c r="E1907">
        <v>39</v>
      </c>
      <c r="F1907" t="s">
        <v>6</v>
      </c>
      <c r="H1907" t="s">
        <v>65</v>
      </c>
      <c r="I1907">
        <v>2023</v>
      </c>
    </row>
    <row r="1908" spans="1:9" x14ac:dyDescent="0.3">
      <c r="A1908">
        <v>214813191</v>
      </c>
      <c r="B1908" s="1">
        <v>45051</v>
      </c>
      <c r="D1908" t="s">
        <v>7</v>
      </c>
      <c r="E1908">
        <v>39</v>
      </c>
      <c r="F1908" t="s">
        <v>6</v>
      </c>
      <c r="H1908" t="s">
        <v>65</v>
      </c>
      <c r="I1908">
        <v>2023</v>
      </c>
    </row>
    <row r="1909" spans="1:9" x14ac:dyDescent="0.3">
      <c r="A1909">
        <v>214880602</v>
      </c>
      <c r="B1909" s="1">
        <v>45051</v>
      </c>
      <c r="D1909" t="s">
        <v>7</v>
      </c>
      <c r="E1909">
        <v>39</v>
      </c>
      <c r="F1909" t="s">
        <v>6</v>
      </c>
      <c r="H1909" t="s">
        <v>65</v>
      </c>
      <c r="I1909">
        <v>2023</v>
      </c>
    </row>
    <row r="1910" spans="1:9" x14ac:dyDescent="0.3">
      <c r="A1910">
        <v>186140999</v>
      </c>
      <c r="B1910" s="1">
        <v>45051</v>
      </c>
      <c r="C1910" s="1">
        <v>45080</v>
      </c>
      <c r="D1910" t="s">
        <v>7</v>
      </c>
      <c r="E1910">
        <v>39</v>
      </c>
      <c r="F1910" t="s">
        <v>6</v>
      </c>
      <c r="G1910" s="19">
        <v>29</v>
      </c>
      <c r="H1910" t="s">
        <v>65</v>
      </c>
      <c r="I1910">
        <v>2023</v>
      </c>
    </row>
    <row r="1911" spans="1:9" x14ac:dyDescent="0.3">
      <c r="A1911">
        <v>214860336</v>
      </c>
      <c r="B1911" s="1">
        <v>45051</v>
      </c>
      <c r="C1911" s="1">
        <v>45110</v>
      </c>
      <c r="D1911" t="s">
        <v>7</v>
      </c>
      <c r="E1911">
        <v>39</v>
      </c>
      <c r="F1911" t="s">
        <v>6</v>
      </c>
      <c r="G1911" s="19">
        <v>59</v>
      </c>
      <c r="H1911" t="s">
        <v>65</v>
      </c>
      <c r="I1911">
        <v>2023</v>
      </c>
    </row>
    <row r="1912" spans="1:9" x14ac:dyDescent="0.3">
      <c r="A1912">
        <v>138725699</v>
      </c>
      <c r="B1912" s="1">
        <v>45051</v>
      </c>
      <c r="C1912" s="1">
        <v>45089</v>
      </c>
      <c r="D1912" t="s">
        <v>7</v>
      </c>
      <c r="E1912">
        <v>39</v>
      </c>
      <c r="F1912" t="s">
        <v>6</v>
      </c>
      <c r="G1912" s="19">
        <v>38</v>
      </c>
      <c r="H1912" t="s">
        <v>65</v>
      </c>
      <c r="I1912">
        <v>2023</v>
      </c>
    </row>
    <row r="1913" spans="1:9" x14ac:dyDescent="0.3">
      <c r="A1913">
        <v>132315255</v>
      </c>
      <c r="B1913" s="1">
        <v>45051</v>
      </c>
      <c r="C1913" s="1">
        <v>45051</v>
      </c>
      <c r="D1913" t="s">
        <v>7</v>
      </c>
      <c r="E1913">
        <v>39</v>
      </c>
      <c r="F1913" t="s">
        <v>6</v>
      </c>
      <c r="G1913" s="19">
        <v>0</v>
      </c>
      <c r="H1913" t="s">
        <v>65</v>
      </c>
      <c r="I1913">
        <v>2023</v>
      </c>
    </row>
    <row r="1914" spans="1:9" x14ac:dyDescent="0.3">
      <c r="A1914">
        <v>208202304</v>
      </c>
      <c r="B1914" s="1">
        <v>45051</v>
      </c>
      <c r="C1914" s="1">
        <v>45051</v>
      </c>
      <c r="D1914" t="s">
        <v>7</v>
      </c>
      <c r="E1914">
        <v>39</v>
      </c>
      <c r="F1914" t="s">
        <v>6</v>
      </c>
      <c r="G1914" s="19">
        <v>0</v>
      </c>
      <c r="H1914" t="s">
        <v>65</v>
      </c>
      <c r="I1914">
        <v>2023</v>
      </c>
    </row>
    <row r="1915" spans="1:9" x14ac:dyDescent="0.3">
      <c r="A1915">
        <v>214869362</v>
      </c>
      <c r="B1915" s="1">
        <v>45051</v>
      </c>
      <c r="C1915" s="1">
        <v>45077</v>
      </c>
      <c r="D1915" t="s">
        <v>7</v>
      </c>
      <c r="E1915">
        <v>39</v>
      </c>
      <c r="F1915" t="s">
        <v>6</v>
      </c>
      <c r="G1915" s="19">
        <v>26</v>
      </c>
      <c r="H1915" t="s">
        <v>65</v>
      </c>
      <c r="I1915">
        <v>2023</v>
      </c>
    </row>
    <row r="1916" spans="1:9" x14ac:dyDescent="0.3">
      <c r="A1916">
        <v>207118054</v>
      </c>
      <c r="B1916" s="1">
        <v>45052</v>
      </c>
      <c r="D1916" t="s">
        <v>7</v>
      </c>
      <c r="E1916">
        <v>39</v>
      </c>
      <c r="F1916" t="s">
        <v>6</v>
      </c>
      <c r="H1916" t="s">
        <v>66</v>
      </c>
      <c r="I1916">
        <v>2023</v>
      </c>
    </row>
    <row r="1917" spans="1:9" x14ac:dyDescent="0.3">
      <c r="A1917">
        <v>214856586</v>
      </c>
      <c r="B1917" s="1">
        <v>45052</v>
      </c>
      <c r="D1917" t="s">
        <v>7</v>
      </c>
      <c r="E1917">
        <v>39</v>
      </c>
      <c r="F1917" t="s">
        <v>6</v>
      </c>
      <c r="H1917" t="s">
        <v>66</v>
      </c>
      <c r="I1917">
        <v>2023</v>
      </c>
    </row>
    <row r="1918" spans="1:9" x14ac:dyDescent="0.3">
      <c r="A1918">
        <v>201945254</v>
      </c>
      <c r="B1918" s="1">
        <v>45052</v>
      </c>
      <c r="C1918" s="1">
        <v>45079</v>
      </c>
      <c r="D1918" t="s">
        <v>7</v>
      </c>
      <c r="E1918">
        <v>39</v>
      </c>
      <c r="F1918" t="s">
        <v>6</v>
      </c>
      <c r="G1918" s="19">
        <v>27</v>
      </c>
      <c r="H1918" t="s">
        <v>66</v>
      </c>
      <c r="I1918">
        <v>2023</v>
      </c>
    </row>
    <row r="1919" spans="1:9" x14ac:dyDescent="0.3">
      <c r="A1919">
        <v>134531651</v>
      </c>
      <c r="B1919" s="1">
        <v>45053</v>
      </c>
      <c r="D1919" t="s">
        <v>7</v>
      </c>
      <c r="E1919">
        <v>39</v>
      </c>
      <c r="F1919" t="s">
        <v>6</v>
      </c>
      <c r="H1919" t="s">
        <v>60</v>
      </c>
      <c r="I1919">
        <v>2023</v>
      </c>
    </row>
    <row r="1920" spans="1:9" x14ac:dyDescent="0.3">
      <c r="A1920">
        <v>204865394</v>
      </c>
      <c r="B1920" s="1">
        <v>45053</v>
      </c>
      <c r="D1920" t="s">
        <v>7</v>
      </c>
      <c r="E1920">
        <v>39</v>
      </c>
      <c r="F1920" t="s">
        <v>6</v>
      </c>
      <c r="H1920" t="s">
        <v>60</v>
      </c>
      <c r="I1920">
        <v>2023</v>
      </c>
    </row>
    <row r="1921" spans="1:9" x14ac:dyDescent="0.3">
      <c r="A1921">
        <v>158906669</v>
      </c>
      <c r="B1921" s="1">
        <v>45053</v>
      </c>
      <c r="D1921" t="s">
        <v>7</v>
      </c>
      <c r="E1921">
        <v>39</v>
      </c>
      <c r="F1921" t="s">
        <v>6</v>
      </c>
      <c r="H1921" t="s">
        <v>60</v>
      </c>
      <c r="I1921">
        <v>2023</v>
      </c>
    </row>
    <row r="1922" spans="1:9" x14ac:dyDescent="0.3">
      <c r="A1922">
        <v>125591366</v>
      </c>
      <c r="B1922" s="1">
        <v>45053</v>
      </c>
      <c r="C1922" s="1">
        <v>45144</v>
      </c>
      <c r="D1922" t="s">
        <v>7</v>
      </c>
      <c r="E1922">
        <v>39</v>
      </c>
      <c r="F1922" t="s">
        <v>6</v>
      </c>
      <c r="G1922" s="19">
        <v>91</v>
      </c>
      <c r="H1922" t="s">
        <v>60</v>
      </c>
      <c r="I1922">
        <v>2023</v>
      </c>
    </row>
    <row r="1923" spans="1:9" x14ac:dyDescent="0.3">
      <c r="A1923">
        <v>214839844</v>
      </c>
      <c r="B1923" s="1">
        <v>45053</v>
      </c>
      <c r="C1923" s="1">
        <v>45114</v>
      </c>
      <c r="D1923" t="s">
        <v>7</v>
      </c>
      <c r="E1923">
        <v>39</v>
      </c>
      <c r="F1923" t="s">
        <v>6</v>
      </c>
      <c r="G1923" s="19">
        <v>61</v>
      </c>
      <c r="H1923" t="s">
        <v>60</v>
      </c>
      <c r="I1923">
        <v>2023</v>
      </c>
    </row>
    <row r="1924" spans="1:9" x14ac:dyDescent="0.3">
      <c r="A1924">
        <v>214939612</v>
      </c>
      <c r="B1924" s="1">
        <v>45053</v>
      </c>
      <c r="C1924" s="1">
        <v>45110</v>
      </c>
      <c r="D1924" t="s">
        <v>7</v>
      </c>
      <c r="E1924">
        <v>39</v>
      </c>
      <c r="F1924" t="s">
        <v>6</v>
      </c>
      <c r="G1924" s="19">
        <v>57</v>
      </c>
      <c r="H1924" t="s">
        <v>60</v>
      </c>
      <c r="I1924">
        <v>2023</v>
      </c>
    </row>
    <row r="1925" spans="1:9" x14ac:dyDescent="0.3">
      <c r="A1925">
        <v>204670100</v>
      </c>
      <c r="B1925" s="1">
        <v>45053</v>
      </c>
      <c r="C1925" s="1">
        <v>45121</v>
      </c>
      <c r="D1925" t="s">
        <v>7</v>
      </c>
      <c r="E1925">
        <v>39</v>
      </c>
      <c r="F1925" t="s">
        <v>6</v>
      </c>
      <c r="G1925" s="19">
        <v>68</v>
      </c>
      <c r="H1925" t="s">
        <v>60</v>
      </c>
      <c r="I1925">
        <v>2023</v>
      </c>
    </row>
    <row r="1926" spans="1:9" x14ac:dyDescent="0.3">
      <c r="A1926">
        <v>214830539</v>
      </c>
      <c r="B1926" s="1">
        <v>45053</v>
      </c>
      <c r="C1926" s="1">
        <v>45091</v>
      </c>
      <c r="D1926" t="s">
        <v>7</v>
      </c>
      <c r="E1926">
        <v>39</v>
      </c>
      <c r="F1926" t="s">
        <v>6</v>
      </c>
      <c r="G1926" s="19">
        <v>38</v>
      </c>
      <c r="H1926" t="s">
        <v>60</v>
      </c>
      <c r="I1926">
        <v>2023</v>
      </c>
    </row>
    <row r="1927" spans="1:9" x14ac:dyDescent="0.3">
      <c r="A1927">
        <v>185952990</v>
      </c>
      <c r="B1927" s="1">
        <v>45053</v>
      </c>
      <c r="C1927" s="1">
        <v>45087</v>
      </c>
      <c r="D1927" t="s">
        <v>7</v>
      </c>
      <c r="E1927">
        <v>39</v>
      </c>
      <c r="F1927" t="s">
        <v>6</v>
      </c>
      <c r="G1927" s="19">
        <v>34</v>
      </c>
      <c r="H1927" t="s">
        <v>60</v>
      </c>
      <c r="I1927">
        <v>2023</v>
      </c>
    </row>
    <row r="1928" spans="1:9" x14ac:dyDescent="0.3">
      <c r="A1928">
        <v>214936311</v>
      </c>
      <c r="B1928" s="1">
        <v>45053</v>
      </c>
      <c r="C1928" s="1">
        <v>45053</v>
      </c>
      <c r="D1928" t="s">
        <v>7</v>
      </c>
      <c r="E1928">
        <v>39</v>
      </c>
      <c r="F1928" t="s">
        <v>6</v>
      </c>
      <c r="G1928" s="19">
        <v>0</v>
      </c>
      <c r="H1928" t="s">
        <v>60</v>
      </c>
      <c r="I1928">
        <v>2023</v>
      </c>
    </row>
    <row r="1929" spans="1:9" x14ac:dyDescent="0.3">
      <c r="A1929">
        <v>214620392</v>
      </c>
      <c r="B1929" s="1">
        <v>45053</v>
      </c>
      <c r="C1929" s="1">
        <v>45114</v>
      </c>
      <c r="D1929" t="s">
        <v>7</v>
      </c>
      <c r="E1929">
        <v>39</v>
      </c>
      <c r="F1929" t="s">
        <v>6</v>
      </c>
      <c r="G1929" s="19">
        <v>61</v>
      </c>
      <c r="H1929" t="s">
        <v>60</v>
      </c>
      <c r="I1929">
        <v>2023</v>
      </c>
    </row>
    <row r="1930" spans="1:9" x14ac:dyDescent="0.3">
      <c r="A1930">
        <v>157935884</v>
      </c>
      <c r="B1930" s="1">
        <v>45054</v>
      </c>
      <c r="D1930" t="s">
        <v>7</v>
      </c>
      <c r="E1930">
        <v>39</v>
      </c>
      <c r="F1930" t="s">
        <v>6</v>
      </c>
      <c r="H1930" t="s">
        <v>61</v>
      </c>
      <c r="I1930">
        <v>2023</v>
      </c>
    </row>
    <row r="1931" spans="1:9" x14ac:dyDescent="0.3">
      <c r="A1931">
        <v>214945706</v>
      </c>
      <c r="B1931" s="1">
        <v>45054</v>
      </c>
      <c r="D1931" t="s">
        <v>7</v>
      </c>
      <c r="E1931">
        <v>39</v>
      </c>
      <c r="F1931" t="s">
        <v>6</v>
      </c>
      <c r="H1931" t="s">
        <v>61</v>
      </c>
      <c r="I1931">
        <v>2023</v>
      </c>
    </row>
    <row r="1932" spans="1:9" x14ac:dyDescent="0.3">
      <c r="A1932">
        <v>214999374</v>
      </c>
      <c r="B1932" s="1">
        <v>45054</v>
      </c>
      <c r="D1932" t="s">
        <v>7</v>
      </c>
      <c r="E1932">
        <v>39</v>
      </c>
      <c r="F1932" t="s">
        <v>6</v>
      </c>
      <c r="H1932" t="s">
        <v>61</v>
      </c>
      <c r="I1932">
        <v>2023</v>
      </c>
    </row>
    <row r="1933" spans="1:9" x14ac:dyDescent="0.3">
      <c r="A1933">
        <v>214986467</v>
      </c>
      <c r="B1933" s="1">
        <v>45054</v>
      </c>
      <c r="D1933" t="s">
        <v>7</v>
      </c>
      <c r="E1933">
        <v>39</v>
      </c>
      <c r="F1933" t="s">
        <v>6</v>
      </c>
      <c r="H1933" t="s">
        <v>61</v>
      </c>
      <c r="I1933">
        <v>2023</v>
      </c>
    </row>
    <row r="1934" spans="1:9" x14ac:dyDescent="0.3">
      <c r="A1934">
        <v>214984741</v>
      </c>
      <c r="B1934" s="1">
        <v>45054</v>
      </c>
      <c r="D1934" t="s">
        <v>7</v>
      </c>
      <c r="E1934">
        <v>39</v>
      </c>
      <c r="F1934" t="s">
        <v>6</v>
      </c>
      <c r="H1934" t="s">
        <v>61</v>
      </c>
      <c r="I1934">
        <v>2023</v>
      </c>
    </row>
    <row r="1935" spans="1:9" x14ac:dyDescent="0.3">
      <c r="A1935">
        <v>214993166</v>
      </c>
      <c r="B1935" s="1">
        <v>45054</v>
      </c>
      <c r="D1935" t="s">
        <v>7</v>
      </c>
      <c r="E1935">
        <v>39</v>
      </c>
      <c r="F1935" t="s">
        <v>6</v>
      </c>
      <c r="H1935" t="s">
        <v>61</v>
      </c>
      <c r="I1935">
        <v>2023</v>
      </c>
    </row>
    <row r="1936" spans="1:9" x14ac:dyDescent="0.3">
      <c r="A1936">
        <v>203116697</v>
      </c>
      <c r="B1936" s="1">
        <v>45054</v>
      </c>
      <c r="D1936" t="s">
        <v>7</v>
      </c>
      <c r="E1936">
        <v>39</v>
      </c>
      <c r="F1936" t="s">
        <v>6</v>
      </c>
      <c r="H1936" t="s">
        <v>61</v>
      </c>
      <c r="I1936">
        <v>2023</v>
      </c>
    </row>
    <row r="1937" spans="1:9" x14ac:dyDescent="0.3">
      <c r="A1937">
        <v>214906741</v>
      </c>
      <c r="B1937" s="1">
        <v>45054</v>
      </c>
      <c r="D1937" t="s">
        <v>7</v>
      </c>
      <c r="E1937">
        <v>39</v>
      </c>
      <c r="F1937" t="s">
        <v>6</v>
      </c>
      <c r="H1937" t="s">
        <v>61</v>
      </c>
      <c r="I1937">
        <v>2023</v>
      </c>
    </row>
    <row r="1938" spans="1:9" x14ac:dyDescent="0.3">
      <c r="A1938">
        <v>128977818</v>
      </c>
      <c r="B1938" s="1">
        <v>45054</v>
      </c>
      <c r="C1938" s="1">
        <v>45175</v>
      </c>
      <c r="D1938" t="s">
        <v>7</v>
      </c>
      <c r="E1938">
        <v>39</v>
      </c>
      <c r="F1938" t="s">
        <v>6</v>
      </c>
      <c r="G1938" s="19">
        <v>121</v>
      </c>
      <c r="H1938" t="s">
        <v>61</v>
      </c>
      <c r="I1938">
        <v>2023</v>
      </c>
    </row>
    <row r="1939" spans="1:9" x14ac:dyDescent="0.3">
      <c r="A1939">
        <v>209743418</v>
      </c>
      <c r="B1939" s="1">
        <v>45054</v>
      </c>
      <c r="C1939" s="1">
        <v>45055</v>
      </c>
      <c r="D1939" t="s">
        <v>7</v>
      </c>
      <c r="E1939">
        <v>39</v>
      </c>
      <c r="F1939" t="s">
        <v>6</v>
      </c>
      <c r="G1939" s="19">
        <v>1</v>
      </c>
      <c r="H1939" t="s">
        <v>61</v>
      </c>
      <c r="I1939">
        <v>2023</v>
      </c>
    </row>
    <row r="1940" spans="1:9" x14ac:dyDescent="0.3">
      <c r="A1940">
        <v>209743418</v>
      </c>
      <c r="B1940" s="1">
        <v>45054</v>
      </c>
      <c r="C1940" s="1">
        <v>45115</v>
      </c>
      <c r="D1940" t="s">
        <v>7</v>
      </c>
      <c r="E1940">
        <v>39</v>
      </c>
      <c r="F1940" t="s">
        <v>6</v>
      </c>
      <c r="G1940" s="19">
        <v>61</v>
      </c>
      <c r="H1940" t="s">
        <v>61</v>
      </c>
      <c r="I1940">
        <v>2023</v>
      </c>
    </row>
    <row r="1941" spans="1:9" x14ac:dyDescent="0.3">
      <c r="A1941">
        <v>130868671</v>
      </c>
      <c r="B1941" s="1">
        <v>45054</v>
      </c>
      <c r="C1941" s="1">
        <v>45091</v>
      </c>
      <c r="D1941" t="s">
        <v>7</v>
      </c>
      <c r="E1941">
        <v>39</v>
      </c>
      <c r="F1941" t="s">
        <v>6</v>
      </c>
      <c r="G1941" s="19">
        <v>37</v>
      </c>
      <c r="H1941" t="s">
        <v>61</v>
      </c>
      <c r="I1941">
        <v>2023</v>
      </c>
    </row>
    <row r="1942" spans="1:9" x14ac:dyDescent="0.3">
      <c r="A1942">
        <v>146963394</v>
      </c>
      <c r="B1942" s="1">
        <v>45054</v>
      </c>
      <c r="C1942" s="1">
        <v>45111</v>
      </c>
      <c r="D1942" t="s">
        <v>7</v>
      </c>
      <c r="E1942">
        <v>39</v>
      </c>
      <c r="F1942" t="s">
        <v>6</v>
      </c>
      <c r="G1942" s="19">
        <v>57</v>
      </c>
      <c r="H1942" t="s">
        <v>61</v>
      </c>
      <c r="I1942">
        <v>2023</v>
      </c>
    </row>
    <row r="1943" spans="1:9" x14ac:dyDescent="0.3">
      <c r="A1943">
        <v>214960770</v>
      </c>
      <c r="B1943" s="1">
        <v>45054</v>
      </c>
      <c r="C1943" s="1">
        <v>45110</v>
      </c>
      <c r="D1943" t="s">
        <v>7</v>
      </c>
      <c r="E1943">
        <v>39</v>
      </c>
      <c r="F1943" t="s">
        <v>6</v>
      </c>
      <c r="G1943" s="19">
        <v>56</v>
      </c>
      <c r="H1943" t="s">
        <v>61</v>
      </c>
      <c r="I1943">
        <v>2023</v>
      </c>
    </row>
    <row r="1944" spans="1:9" x14ac:dyDescent="0.3">
      <c r="A1944">
        <v>207344872</v>
      </c>
      <c r="B1944" s="1">
        <v>45054</v>
      </c>
      <c r="C1944" s="1">
        <v>45084</v>
      </c>
      <c r="D1944" t="s">
        <v>7</v>
      </c>
      <c r="E1944">
        <v>39</v>
      </c>
      <c r="F1944" t="s">
        <v>6</v>
      </c>
      <c r="G1944" s="19">
        <v>30</v>
      </c>
      <c r="H1944" t="s">
        <v>61</v>
      </c>
      <c r="I1944">
        <v>2023</v>
      </c>
    </row>
    <row r="1945" spans="1:9" x14ac:dyDescent="0.3">
      <c r="A1945">
        <v>202925989</v>
      </c>
      <c r="B1945" s="1">
        <v>45054</v>
      </c>
      <c r="C1945" s="1">
        <v>45092</v>
      </c>
      <c r="D1945" t="s">
        <v>7</v>
      </c>
      <c r="E1945">
        <v>39</v>
      </c>
      <c r="F1945" t="s">
        <v>6</v>
      </c>
      <c r="G1945" s="19">
        <v>38</v>
      </c>
      <c r="H1945" t="s">
        <v>61</v>
      </c>
      <c r="I1945">
        <v>2023</v>
      </c>
    </row>
    <row r="1946" spans="1:9" x14ac:dyDescent="0.3">
      <c r="A1946">
        <v>214991976</v>
      </c>
      <c r="B1946" s="1">
        <v>45054</v>
      </c>
      <c r="C1946" s="1">
        <v>45099</v>
      </c>
      <c r="D1946" t="s">
        <v>7</v>
      </c>
      <c r="E1946">
        <v>39</v>
      </c>
      <c r="F1946" t="s">
        <v>6</v>
      </c>
      <c r="G1946" s="19">
        <v>45</v>
      </c>
      <c r="H1946" t="s">
        <v>61</v>
      </c>
      <c r="I1946">
        <v>2023</v>
      </c>
    </row>
    <row r="1947" spans="1:9" x14ac:dyDescent="0.3">
      <c r="A1947">
        <v>211917633</v>
      </c>
      <c r="B1947" s="1">
        <v>45054</v>
      </c>
      <c r="C1947" s="1">
        <v>45071</v>
      </c>
      <c r="D1947" t="s">
        <v>7</v>
      </c>
      <c r="E1947">
        <v>39</v>
      </c>
      <c r="F1947" t="s">
        <v>6</v>
      </c>
      <c r="G1947" s="19">
        <v>17</v>
      </c>
      <c r="H1947" t="s">
        <v>61</v>
      </c>
      <c r="I1947">
        <v>2023</v>
      </c>
    </row>
    <row r="1948" spans="1:9" x14ac:dyDescent="0.3">
      <c r="A1948">
        <v>214623264</v>
      </c>
      <c r="B1948" s="1">
        <v>45054</v>
      </c>
      <c r="C1948" s="1">
        <v>45122</v>
      </c>
      <c r="D1948" t="s">
        <v>7</v>
      </c>
      <c r="E1948">
        <v>39</v>
      </c>
      <c r="F1948" t="s">
        <v>6</v>
      </c>
      <c r="G1948" s="19">
        <v>68</v>
      </c>
      <c r="H1948" t="s">
        <v>61</v>
      </c>
      <c r="I1948">
        <v>2023</v>
      </c>
    </row>
    <row r="1949" spans="1:9" x14ac:dyDescent="0.3">
      <c r="A1949">
        <v>205339362</v>
      </c>
      <c r="B1949" s="1">
        <v>45054</v>
      </c>
      <c r="C1949" s="1">
        <v>45115</v>
      </c>
      <c r="D1949" t="s">
        <v>7</v>
      </c>
      <c r="E1949">
        <v>39</v>
      </c>
      <c r="F1949" t="s">
        <v>6</v>
      </c>
      <c r="G1949" s="19">
        <v>61</v>
      </c>
      <c r="H1949" t="s">
        <v>61</v>
      </c>
      <c r="I1949">
        <v>2023</v>
      </c>
    </row>
    <row r="1950" spans="1:9" x14ac:dyDescent="0.3">
      <c r="A1950">
        <v>214956352</v>
      </c>
      <c r="B1950" s="1">
        <v>45055</v>
      </c>
      <c r="D1950" t="s">
        <v>7</v>
      </c>
      <c r="E1950">
        <v>39</v>
      </c>
      <c r="F1950" t="s">
        <v>6</v>
      </c>
      <c r="H1950" t="s">
        <v>62</v>
      </c>
      <c r="I1950">
        <v>2023</v>
      </c>
    </row>
    <row r="1951" spans="1:9" x14ac:dyDescent="0.3">
      <c r="A1951">
        <v>196061402</v>
      </c>
      <c r="B1951" s="1">
        <v>45055</v>
      </c>
      <c r="D1951" t="s">
        <v>7</v>
      </c>
      <c r="E1951">
        <v>39</v>
      </c>
      <c r="F1951" t="s">
        <v>6</v>
      </c>
      <c r="H1951" t="s">
        <v>62</v>
      </c>
      <c r="I1951">
        <v>2023</v>
      </c>
    </row>
    <row r="1952" spans="1:9" x14ac:dyDescent="0.3">
      <c r="A1952">
        <v>215019022</v>
      </c>
      <c r="B1952" s="1">
        <v>45055</v>
      </c>
      <c r="D1952" t="s">
        <v>7</v>
      </c>
      <c r="E1952">
        <v>39</v>
      </c>
      <c r="F1952" t="s">
        <v>6</v>
      </c>
      <c r="H1952" t="s">
        <v>62</v>
      </c>
      <c r="I1952">
        <v>2023</v>
      </c>
    </row>
    <row r="1953" spans="1:9" x14ac:dyDescent="0.3">
      <c r="A1953">
        <v>185517087</v>
      </c>
      <c r="B1953" s="1">
        <v>45055</v>
      </c>
      <c r="D1953" t="s">
        <v>7</v>
      </c>
      <c r="E1953">
        <v>39</v>
      </c>
      <c r="F1953" t="s">
        <v>6</v>
      </c>
      <c r="H1953" t="s">
        <v>62</v>
      </c>
      <c r="I1953">
        <v>2023</v>
      </c>
    </row>
    <row r="1954" spans="1:9" x14ac:dyDescent="0.3">
      <c r="A1954">
        <v>151513254</v>
      </c>
      <c r="B1954" s="1">
        <v>45055</v>
      </c>
      <c r="C1954" s="1">
        <v>45055</v>
      </c>
      <c r="D1954" t="s">
        <v>7</v>
      </c>
      <c r="E1954">
        <v>39</v>
      </c>
      <c r="F1954" t="s">
        <v>6</v>
      </c>
      <c r="G1954" s="19">
        <v>0</v>
      </c>
      <c r="H1954" t="s">
        <v>62</v>
      </c>
      <c r="I1954">
        <v>2023</v>
      </c>
    </row>
    <row r="1955" spans="1:9" x14ac:dyDescent="0.3">
      <c r="A1955">
        <v>214952558</v>
      </c>
      <c r="B1955" s="1">
        <v>45055</v>
      </c>
      <c r="C1955" s="1">
        <v>45056</v>
      </c>
      <c r="D1955" t="s">
        <v>8</v>
      </c>
      <c r="E1955">
        <v>39</v>
      </c>
      <c r="F1955" t="s">
        <v>6</v>
      </c>
      <c r="G1955" s="19">
        <v>1</v>
      </c>
      <c r="H1955" t="s">
        <v>62</v>
      </c>
      <c r="I1955">
        <v>2023</v>
      </c>
    </row>
    <row r="1956" spans="1:9" x14ac:dyDescent="0.3">
      <c r="A1956">
        <v>139339380</v>
      </c>
      <c r="B1956" s="1">
        <v>45055</v>
      </c>
      <c r="C1956" s="1">
        <v>45095</v>
      </c>
      <c r="D1956" t="s">
        <v>7</v>
      </c>
      <c r="E1956">
        <v>39</v>
      </c>
      <c r="F1956" t="s">
        <v>6</v>
      </c>
      <c r="G1956" s="19">
        <v>40</v>
      </c>
      <c r="H1956" t="s">
        <v>62</v>
      </c>
      <c r="I1956">
        <v>2023</v>
      </c>
    </row>
    <row r="1957" spans="1:9" x14ac:dyDescent="0.3">
      <c r="A1957">
        <v>208188866</v>
      </c>
      <c r="B1957" s="1">
        <v>45055</v>
      </c>
      <c r="C1957" s="1">
        <v>45086</v>
      </c>
      <c r="D1957" t="s">
        <v>7</v>
      </c>
      <c r="E1957">
        <v>39</v>
      </c>
      <c r="F1957" t="s">
        <v>6</v>
      </c>
      <c r="G1957" s="19">
        <v>31</v>
      </c>
      <c r="H1957" t="s">
        <v>62</v>
      </c>
      <c r="I1957">
        <v>2023</v>
      </c>
    </row>
    <row r="1958" spans="1:9" x14ac:dyDescent="0.3">
      <c r="A1958">
        <v>150342446</v>
      </c>
      <c r="B1958" s="1">
        <v>45055</v>
      </c>
      <c r="C1958" s="1">
        <v>45093</v>
      </c>
      <c r="D1958" t="s">
        <v>7</v>
      </c>
      <c r="E1958">
        <v>39</v>
      </c>
      <c r="F1958" t="s">
        <v>6</v>
      </c>
      <c r="G1958" s="19">
        <v>38</v>
      </c>
      <c r="H1958" t="s">
        <v>62</v>
      </c>
      <c r="I1958">
        <v>2023</v>
      </c>
    </row>
    <row r="1959" spans="1:9" x14ac:dyDescent="0.3">
      <c r="A1959">
        <v>188748372</v>
      </c>
      <c r="B1959" s="1">
        <v>45055</v>
      </c>
      <c r="C1959" s="1">
        <v>45093</v>
      </c>
      <c r="D1959" t="s">
        <v>7</v>
      </c>
      <c r="E1959">
        <v>39</v>
      </c>
      <c r="F1959" t="s">
        <v>6</v>
      </c>
      <c r="G1959" s="19">
        <v>38</v>
      </c>
      <c r="H1959" t="s">
        <v>62</v>
      </c>
      <c r="I1959">
        <v>2023</v>
      </c>
    </row>
    <row r="1960" spans="1:9" x14ac:dyDescent="0.3">
      <c r="A1960">
        <v>215034356</v>
      </c>
      <c r="B1960" s="1">
        <v>45055</v>
      </c>
      <c r="C1960" s="1">
        <v>45055</v>
      </c>
      <c r="D1960" t="s">
        <v>7</v>
      </c>
      <c r="E1960">
        <v>39</v>
      </c>
      <c r="F1960" t="s">
        <v>6</v>
      </c>
      <c r="G1960" s="19">
        <v>0</v>
      </c>
      <c r="H1960" t="s">
        <v>62</v>
      </c>
      <c r="I1960">
        <v>2023</v>
      </c>
    </row>
    <row r="1961" spans="1:9" x14ac:dyDescent="0.3">
      <c r="A1961">
        <v>145013444</v>
      </c>
      <c r="B1961" s="1">
        <v>45055</v>
      </c>
      <c r="C1961" s="1">
        <v>45075</v>
      </c>
      <c r="D1961" t="s">
        <v>7</v>
      </c>
      <c r="E1961">
        <v>39</v>
      </c>
      <c r="F1961" t="s">
        <v>6</v>
      </c>
      <c r="G1961" s="19">
        <v>20</v>
      </c>
      <c r="H1961" t="s">
        <v>62</v>
      </c>
      <c r="I1961">
        <v>2023</v>
      </c>
    </row>
    <row r="1962" spans="1:9" x14ac:dyDescent="0.3">
      <c r="A1962">
        <v>164548755</v>
      </c>
      <c r="B1962" s="1">
        <v>45055</v>
      </c>
      <c r="C1962" s="1">
        <v>45123</v>
      </c>
      <c r="D1962" t="s">
        <v>7</v>
      </c>
      <c r="E1962">
        <v>39</v>
      </c>
      <c r="F1962" t="s">
        <v>6</v>
      </c>
      <c r="G1962" s="19">
        <v>68</v>
      </c>
      <c r="H1962" t="s">
        <v>62</v>
      </c>
      <c r="I1962">
        <v>2023</v>
      </c>
    </row>
    <row r="1963" spans="1:9" x14ac:dyDescent="0.3">
      <c r="A1963">
        <v>193315330</v>
      </c>
      <c r="B1963" s="1">
        <v>45055</v>
      </c>
      <c r="C1963" s="1">
        <v>45154</v>
      </c>
      <c r="D1963" t="s">
        <v>7</v>
      </c>
      <c r="E1963">
        <v>39</v>
      </c>
      <c r="F1963" t="s">
        <v>6</v>
      </c>
      <c r="G1963" s="19">
        <v>99</v>
      </c>
      <c r="H1963" t="s">
        <v>62</v>
      </c>
      <c r="I1963">
        <v>2023</v>
      </c>
    </row>
    <row r="1964" spans="1:9" x14ac:dyDescent="0.3">
      <c r="A1964">
        <v>147592201</v>
      </c>
      <c r="B1964" s="1">
        <v>45056</v>
      </c>
      <c r="D1964" t="s">
        <v>7</v>
      </c>
      <c r="E1964">
        <v>39</v>
      </c>
      <c r="F1964" t="s">
        <v>6</v>
      </c>
      <c r="H1964" t="s">
        <v>63</v>
      </c>
      <c r="I1964">
        <v>2023</v>
      </c>
    </row>
    <row r="1965" spans="1:9" x14ac:dyDescent="0.3">
      <c r="A1965">
        <v>192068317</v>
      </c>
      <c r="B1965" s="1">
        <v>45056</v>
      </c>
      <c r="D1965" t="s">
        <v>7</v>
      </c>
      <c r="E1965">
        <v>39</v>
      </c>
      <c r="F1965" t="s">
        <v>6</v>
      </c>
      <c r="H1965" t="s">
        <v>63</v>
      </c>
      <c r="I1965">
        <v>2023</v>
      </c>
    </row>
    <row r="1966" spans="1:9" x14ac:dyDescent="0.3">
      <c r="A1966">
        <v>214396083</v>
      </c>
      <c r="B1966" s="1">
        <v>45056</v>
      </c>
      <c r="D1966" t="s">
        <v>7</v>
      </c>
      <c r="E1966">
        <v>39</v>
      </c>
      <c r="F1966" t="s">
        <v>6</v>
      </c>
      <c r="H1966" t="s">
        <v>63</v>
      </c>
      <c r="I1966">
        <v>2023</v>
      </c>
    </row>
    <row r="1967" spans="1:9" x14ac:dyDescent="0.3">
      <c r="A1967">
        <v>214698924</v>
      </c>
      <c r="B1967" s="1">
        <v>45056</v>
      </c>
      <c r="C1967" s="1">
        <v>45056</v>
      </c>
      <c r="D1967" t="s">
        <v>7</v>
      </c>
      <c r="E1967">
        <v>39</v>
      </c>
      <c r="F1967" t="s">
        <v>6</v>
      </c>
      <c r="G1967" s="19">
        <v>0</v>
      </c>
      <c r="H1967" t="s">
        <v>63</v>
      </c>
      <c r="I1967">
        <v>2023</v>
      </c>
    </row>
    <row r="1968" spans="1:9" x14ac:dyDescent="0.3">
      <c r="A1968">
        <v>153402484</v>
      </c>
      <c r="B1968" s="1">
        <v>45056</v>
      </c>
      <c r="C1968" s="1">
        <v>45086</v>
      </c>
      <c r="D1968" t="s">
        <v>7</v>
      </c>
      <c r="E1968">
        <v>39</v>
      </c>
      <c r="F1968" t="s">
        <v>6</v>
      </c>
      <c r="G1968" s="19">
        <v>30</v>
      </c>
      <c r="H1968" t="s">
        <v>63</v>
      </c>
      <c r="I1968">
        <v>2023</v>
      </c>
    </row>
    <row r="1969" spans="1:9" x14ac:dyDescent="0.3">
      <c r="A1969">
        <v>214809412</v>
      </c>
      <c r="B1969" s="1">
        <v>45056</v>
      </c>
      <c r="C1969" s="1">
        <v>45147</v>
      </c>
      <c r="D1969" t="s">
        <v>7</v>
      </c>
      <c r="E1969">
        <v>39</v>
      </c>
      <c r="F1969" t="s">
        <v>6</v>
      </c>
      <c r="G1969" s="19">
        <v>91</v>
      </c>
      <c r="H1969" t="s">
        <v>63</v>
      </c>
      <c r="I1969">
        <v>2023</v>
      </c>
    </row>
    <row r="1970" spans="1:9" x14ac:dyDescent="0.3">
      <c r="A1970">
        <v>215062365</v>
      </c>
      <c r="B1970" s="1">
        <v>45056</v>
      </c>
      <c r="C1970" s="1">
        <v>45141</v>
      </c>
      <c r="D1970" t="s">
        <v>7</v>
      </c>
      <c r="E1970">
        <v>39</v>
      </c>
      <c r="F1970" t="s">
        <v>6</v>
      </c>
      <c r="G1970" s="19">
        <v>85</v>
      </c>
      <c r="H1970" t="s">
        <v>63</v>
      </c>
      <c r="I1970">
        <v>2023</v>
      </c>
    </row>
    <row r="1971" spans="1:9" x14ac:dyDescent="0.3">
      <c r="A1971">
        <v>135185873</v>
      </c>
      <c r="B1971" s="1">
        <v>45057</v>
      </c>
      <c r="D1971" t="s">
        <v>7</v>
      </c>
      <c r="E1971">
        <v>39</v>
      </c>
      <c r="F1971" t="s">
        <v>6</v>
      </c>
      <c r="H1971" t="s">
        <v>64</v>
      </c>
      <c r="I1971">
        <v>2023</v>
      </c>
    </row>
    <row r="1972" spans="1:9" x14ac:dyDescent="0.3">
      <c r="A1972">
        <v>144898968</v>
      </c>
      <c r="B1972" s="1">
        <v>45057</v>
      </c>
      <c r="D1972" t="s">
        <v>7</v>
      </c>
      <c r="E1972">
        <v>39</v>
      </c>
      <c r="F1972" t="s">
        <v>6</v>
      </c>
      <c r="H1972" t="s">
        <v>64</v>
      </c>
      <c r="I1972">
        <v>2023</v>
      </c>
    </row>
    <row r="1973" spans="1:9" x14ac:dyDescent="0.3">
      <c r="A1973">
        <v>214973231</v>
      </c>
      <c r="B1973" s="1">
        <v>45057</v>
      </c>
      <c r="D1973" t="s">
        <v>7</v>
      </c>
      <c r="E1973">
        <v>39</v>
      </c>
      <c r="F1973" t="s">
        <v>6</v>
      </c>
      <c r="H1973" t="s">
        <v>64</v>
      </c>
      <c r="I1973">
        <v>2023</v>
      </c>
    </row>
    <row r="1974" spans="1:9" x14ac:dyDescent="0.3">
      <c r="A1974">
        <v>214971897</v>
      </c>
      <c r="B1974" s="1">
        <v>45057</v>
      </c>
      <c r="D1974" t="s">
        <v>7</v>
      </c>
      <c r="E1974">
        <v>39</v>
      </c>
      <c r="F1974" t="s">
        <v>6</v>
      </c>
      <c r="H1974" t="s">
        <v>64</v>
      </c>
      <c r="I1974">
        <v>2023</v>
      </c>
    </row>
    <row r="1975" spans="1:9" x14ac:dyDescent="0.3">
      <c r="A1975">
        <v>134919488</v>
      </c>
      <c r="B1975" s="1">
        <v>45057</v>
      </c>
      <c r="C1975" s="1">
        <v>45145</v>
      </c>
      <c r="D1975" t="s">
        <v>7</v>
      </c>
      <c r="E1975">
        <v>39</v>
      </c>
      <c r="F1975" t="s">
        <v>6</v>
      </c>
      <c r="G1975" s="19">
        <v>88</v>
      </c>
      <c r="H1975" t="s">
        <v>64</v>
      </c>
      <c r="I1975">
        <v>2023</v>
      </c>
    </row>
    <row r="1976" spans="1:9" x14ac:dyDescent="0.3">
      <c r="A1976">
        <v>214912916</v>
      </c>
      <c r="B1976" s="1">
        <v>45057</v>
      </c>
      <c r="C1976" s="1">
        <v>45088</v>
      </c>
      <c r="D1976" t="s">
        <v>7</v>
      </c>
      <c r="E1976">
        <v>39</v>
      </c>
      <c r="F1976" t="s">
        <v>6</v>
      </c>
      <c r="G1976" s="19">
        <v>31</v>
      </c>
      <c r="H1976" t="s">
        <v>64</v>
      </c>
      <c r="I1976">
        <v>2023</v>
      </c>
    </row>
    <row r="1977" spans="1:9" x14ac:dyDescent="0.3">
      <c r="A1977">
        <v>215138344</v>
      </c>
      <c r="B1977" s="1">
        <v>45057</v>
      </c>
      <c r="C1977" s="1">
        <v>45079</v>
      </c>
      <c r="D1977" t="s">
        <v>7</v>
      </c>
      <c r="E1977">
        <v>39</v>
      </c>
      <c r="F1977" t="s">
        <v>6</v>
      </c>
      <c r="G1977" s="19">
        <v>22</v>
      </c>
      <c r="H1977" t="s">
        <v>64</v>
      </c>
      <c r="I1977">
        <v>2023</v>
      </c>
    </row>
    <row r="1978" spans="1:9" x14ac:dyDescent="0.3">
      <c r="A1978">
        <v>215132378</v>
      </c>
      <c r="B1978" s="1">
        <v>45057</v>
      </c>
      <c r="C1978" s="1">
        <v>45082</v>
      </c>
      <c r="D1978" t="s">
        <v>7</v>
      </c>
      <c r="E1978">
        <v>39</v>
      </c>
      <c r="F1978" t="s">
        <v>6</v>
      </c>
      <c r="G1978" s="19">
        <v>25</v>
      </c>
      <c r="H1978" t="s">
        <v>64</v>
      </c>
      <c r="I1978">
        <v>2023</v>
      </c>
    </row>
    <row r="1979" spans="1:9" x14ac:dyDescent="0.3">
      <c r="A1979">
        <v>206145911</v>
      </c>
      <c r="B1979" s="1">
        <v>45057</v>
      </c>
      <c r="C1979" s="1">
        <v>45057</v>
      </c>
      <c r="D1979" t="s">
        <v>7</v>
      </c>
      <c r="E1979">
        <v>39</v>
      </c>
      <c r="F1979" t="s">
        <v>6</v>
      </c>
      <c r="G1979" s="19">
        <v>0</v>
      </c>
      <c r="H1979" t="s">
        <v>64</v>
      </c>
      <c r="I1979">
        <v>2023</v>
      </c>
    </row>
    <row r="1980" spans="1:9" x14ac:dyDescent="0.3">
      <c r="A1980">
        <v>215146368</v>
      </c>
      <c r="B1980" s="1">
        <v>45057</v>
      </c>
      <c r="C1980" s="1">
        <v>45065</v>
      </c>
      <c r="D1980" t="s">
        <v>7</v>
      </c>
      <c r="E1980">
        <v>39</v>
      </c>
      <c r="F1980" t="s">
        <v>6</v>
      </c>
      <c r="G1980" s="19">
        <v>8</v>
      </c>
      <c r="H1980" t="s">
        <v>64</v>
      </c>
      <c r="I1980">
        <v>2023</v>
      </c>
    </row>
    <row r="1981" spans="1:9" x14ac:dyDescent="0.3">
      <c r="A1981">
        <v>133199506</v>
      </c>
      <c r="B1981" s="1">
        <v>45058</v>
      </c>
      <c r="D1981" t="s">
        <v>7</v>
      </c>
      <c r="E1981">
        <v>39</v>
      </c>
      <c r="F1981" t="s">
        <v>6</v>
      </c>
      <c r="H1981" t="s">
        <v>65</v>
      </c>
      <c r="I1981">
        <v>2023</v>
      </c>
    </row>
    <row r="1982" spans="1:9" x14ac:dyDescent="0.3">
      <c r="A1982">
        <v>202763494</v>
      </c>
      <c r="B1982" s="1">
        <v>45058</v>
      </c>
      <c r="D1982" t="s">
        <v>7</v>
      </c>
      <c r="E1982">
        <v>39</v>
      </c>
      <c r="F1982" t="s">
        <v>6</v>
      </c>
      <c r="H1982" t="s">
        <v>65</v>
      </c>
      <c r="I1982">
        <v>2023</v>
      </c>
    </row>
    <row r="1983" spans="1:9" x14ac:dyDescent="0.3">
      <c r="A1983">
        <v>215113205</v>
      </c>
      <c r="B1983" s="1">
        <v>45058</v>
      </c>
      <c r="D1983" t="s">
        <v>7</v>
      </c>
      <c r="E1983">
        <v>39</v>
      </c>
      <c r="F1983" t="s">
        <v>6</v>
      </c>
      <c r="H1983" t="s">
        <v>65</v>
      </c>
      <c r="I1983">
        <v>2023</v>
      </c>
    </row>
    <row r="1984" spans="1:9" x14ac:dyDescent="0.3">
      <c r="A1984">
        <v>147097108</v>
      </c>
      <c r="B1984" s="1">
        <v>45058</v>
      </c>
      <c r="D1984" t="s">
        <v>7</v>
      </c>
      <c r="E1984">
        <v>39</v>
      </c>
      <c r="F1984" t="s">
        <v>6</v>
      </c>
      <c r="H1984" t="s">
        <v>65</v>
      </c>
      <c r="I1984">
        <v>2023</v>
      </c>
    </row>
    <row r="1985" spans="1:9" x14ac:dyDescent="0.3">
      <c r="A1985">
        <v>186692270</v>
      </c>
      <c r="B1985" s="1">
        <v>45058</v>
      </c>
      <c r="D1985" t="s">
        <v>7</v>
      </c>
      <c r="E1985">
        <v>39</v>
      </c>
      <c r="F1985" t="s">
        <v>6</v>
      </c>
      <c r="H1985" t="s">
        <v>65</v>
      </c>
      <c r="I1985">
        <v>2023</v>
      </c>
    </row>
    <row r="1986" spans="1:9" x14ac:dyDescent="0.3">
      <c r="A1986">
        <v>215169444</v>
      </c>
      <c r="B1986" s="1">
        <v>45058</v>
      </c>
      <c r="D1986" t="s">
        <v>7</v>
      </c>
      <c r="E1986">
        <v>39</v>
      </c>
      <c r="F1986" t="s">
        <v>6</v>
      </c>
      <c r="H1986" t="s">
        <v>65</v>
      </c>
      <c r="I1986">
        <v>2023</v>
      </c>
    </row>
    <row r="1987" spans="1:9" x14ac:dyDescent="0.3">
      <c r="A1987">
        <v>114992353</v>
      </c>
      <c r="B1987" s="1">
        <v>45058</v>
      </c>
      <c r="C1987" s="1">
        <v>45152</v>
      </c>
      <c r="D1987" t="s">
        <v>7</v>
      </c>
      <c r="E1987">
        <v>39</v>
      </c>
      <c r="F1987" t="s">
        <v>6</v>
      </c>
      <c r="G1987" s="19">
        <v>94</v>
      </c>
      <c r="H1987" t="s">
        <v>65</v>
      </c>
      <c r="I1987">
        <v>2023</v>
      </c>
    </row>
    <row r="1988" spans="1:9" x14ac:dyDescent="0.3">
      <c r="A1988">
        <v>212339137</v>
      </c>
      <c r="B1988" s="1">
        <v>45058</v>
      </c>
      <c r="C1988" s="1">
        <v>45059</v>
      </c>
      <c r="D1988" t="s">
        <v>7</v>
      </c>
      <c r="E1988">
        <v>39</v>
      </c>
      <c r="F1988" t="s">
        <v>6</v>
      </c>
      <c r="G1988" s="19">
        <v>1</v>
      </c>
      <c r="H1988" t="s">
        <v>65</v>
      </c>
      <c r="I1988">
        <v>2023</v>
      </c>
    </row>
    <row r="1989" spans="1:9" x14ac:dyDescent="0.3">
      <c r="A1989">
        <v>175564124</v>
      </c>
      <c r="B1989" s="1">
        <v>45058</v>
      </c>
      <c r="C1989" s="1">
        <v>45081</v>
      </c>
      <c r="D1989" t="s">
        <v>7</v>
      </c>
      <c r="E1989">
        <v>39</v>
      </c>
      <c r="F1989" t="s">
        <v>6</v>
      </c>
      <c r="G1989" s="19">
        <v>23</v>
      </c>
      <c r="H1989" t="s">
        <v>65</v>
      </c>
      <c r="I1989">
        <v>2023</v>
      </c>
    </row>
    <row r="1990" spans="1:9" x14ac:dyDescent="0.3">
      <c r="A1990">
        <v>174646950</v>
      </c>
      <c r="B1990" s="1">
        <v>45058</v>
      </c>
      <c r="C1990" s="1">
        <v>45096</v>
      </c>
      <c r="D1990" t="s">
        <v>7</v>
      </c>
      <c r="E1990">
        <v>39</v>
      </c>
      <c r="F1990" t="s">
        <v>6</v>
      </c>
      <c r="G1990" s="19">
        <v>38</v>
      </c>
      <c r="H1990" t="s">
        <v>65</v>
      </c>
      <c r="I1990">
        <v>2023</v>
      </c>
    </row>
    <row r="1991" spans="1:9" x14ac:dyDescent="0.3">
      <c r="A1991">
        <v>215075697</v>
      </c>
      <c r="B1991" s="1">
        <v>45058</v>
      </c>
      <c r="C1991" s="1">
        <v>45088</v>
      </c>
      <c r="D1991" t="s">
        <v>7</v>
      </c>
      <c r="E1991">
        <v>39</v>
      </c>
      <c r="F1991" t="s">
        <v>6</v>
      </c>
      <c r="G1991" s="19">
        <v>30</v>
      </c>
      <c r="H1991" t="s">
        <v>65</v>
      </c>
      <c r="I1991">
        <v>2023</v>
      </c>
    </row>
    <row r="1992" spans="1:9" x14ac:dyDescent="0.3">
      <c r="A1992">
        <v>215149530</v>
      </c>
      <c r="B1992" s="1">
        <v>45058</v>
      </c>
      <c r="C1992" s="1">
        <v>45107</v>
      </c>
      <c r="D1992" t="s">
        <v>7</v>
      </c>
      <c r="E1992">
        <v>39</v>
      </c>
      <c r="F1992" t="s">
        <v>6</v>
      </c>
      <c r="G1992" s="19">
        <v>49</v>
      </c>
      <c r="H1992" t="s">
        <v>65</v>
      </c>
      <c r="I1992">
        <v>2023</v>
      </c>
    </row>
    <row r="1993" spans="1:9" x14ac:dyDescent="0.3">
      <c r="A1993">
        <v>215226464</v>
      </c>
      <c r="B1993" s="1">
        <v>45059</v>
      </c>
      <c r="D1993" t="s">
        <v>7</v>
      </c>
      <c r="E1993">
        <v>39</v>
      </c>
      <c r="F1993" t="s">
        <v>6</v>
      </c>
      <c r="H1993" t="s">
        <v>66</v>
      </c>
      <c r="I1993">
        <v>2023</v>
      </c>
    </row>
    <row r="1994" spans="1:9" x14ac:dyDescent="0.3">
      <c r="A1994">
        <v>215221354</v>
      </c>
      <c r="B1994" s="1">
        <v>45059</v>
      </c>
      <c r="D1994" t="s">
        <v>7</v>
      </c>
      <c r="E1994">
        <v>39</v>
      </c>
      <c r="F1994" t="s">
        <v>6</v>
      </c>
      <c r="H1994" t="s">
        <v>66</v>
      </c>
      <c r="I1994">
        <v>2023</v>
      </c>
    </row>
    <row r="1995" spans="1:9" x14ac:dyDescent="0.3">
      <c r="A1995">
        <v>215031638</v>
      </c>
      <c r="B1995" s="1">
        <v>45059</v>
      </c>
      <c r="D1995" t="s">
        <v>7</v>
      </c>
      <c r="E1995">
        <v>39</v>
      </c>
      <c r="F1995" t="s">
        <v>6</v>
      </c>
      <c r="H1995" t="s">
        <v>66</v>
      </c>
      <c r="I1995">
        <v>2023</v>
      </c>
    </row>
    <row r="1996" spans="1:9" x14ac:dyDescent="0.3">
      <c r="A1996">
        <v>182019861</v>
      </c>
      <c r="B1996" s="1">
        <v>45060</v>
      </c>
      <c r="D1996" t="s">
        <v>7</v>
      </c>
      <c r="E1996">
        <v>39</v>
      </c>
      <c r="F1996" t="s">
        <v>6</v>
      </c>
      <c r="H1996" t="s">
        <v>60</v>
      </c>
      <c r="I1996">
        <v>2023</v>
      </c>
    </row>
    <row r="1997" spans="1:9" x14ac:dyDescent="0.3">
      <c r="A1997">
        <v>210072231</v>
      </c>
      <c r="B1997" s="1">
        <v>45060</v>
      </c>
      <c r="D1997" t="s">
        <v>7</v>
      </c>
      <c r="E1997">
        <v>39</v>
      </c>
      <c r="F1997" t="s">
        <v>6</v>
      </c>
      <c r="H1997" t="s">
        <v>60</v>
      </c>
      <c r="I1997">
        <v>2023</v>
      </c>
    </row>
    <row r="1998" spans="1:9" x14ac:dyDescent="0.3">
      <c r="A1998">
        <v>127328847</v>
      </c>
      <c r="B1998" s="1">
        <v>45060</v>
      </c>
      <c r="C1998" s="1">
        <v>45061</v>
      </c>
      <c r="D1998" t="s">
        <v>7</v>
      </c>
      <c r="E1998">
        <v>39</v>
      </c>
      <c r="F1998" t="s">
        <v>6</v>
      </c>
      <c r="G1998" s="19">
        <v>1</v>
      </c>
      <c r="H1998" t="s">
        <v>60</v>
      </c>
      <c r="I1998">
        <v>2023</v>
      </c>
    </row>
    <row r="1999" spans="1:9" x14ac:dyDescent="0.3">
      <c r="A1999">
        <v>155566052</v>
      </c>
      <c r="B1999" s="1">
        <v>45060</v>
      </c>
      <c r="C1999" s="1">
        <v>45089</v>
      </c>
      <c r="D1999" t="s">
        <v>7</v>
      </c>
      <c r="E1999">
        <v>39</v>
      </c>
      <c r="F1999" t="s">
        <v>6</v>
      </c>
      <c r="G1999" s="19">
        <v>29</v>
      </c>
      <c r="H1999" t="s">
        <v>60</v>
      </c>
      <c r="I1999">
        <v>2023</v>
      </c>
    </row>
    <row r="2000" spans="1:9" x14ac:dyDescent="0.3">
      <c r="A2000">
        <v>151513254</v>
      </c>
      <c r="B2000" s="1">
        <v>45060</v>
      </c>
      <c r="C2000" s="1">
        <v>45097</v>
      </c>
      <c r="D2000" t="s">
        <v>7</v>
      </c>
      <c r="E2000">
        <v>39</v>
      </c>
      <c r="F2000" t="s">
        <v>6</v>
      </c>
      <c r="G2000" s="19">
        <v>37</v>
      </c>
      <c r="H2000" t="s">
        <v>60</v>
      </c>
      <c r="I2000">
        <v>2023</v>
      </c>
    </row>
    <row r="2001" spans="1:9" x14ac:dyDescent="0.3">
      <c r="A2001">
        <v>152236400</v>
      </c>
      <c r="B2001" s="1">
        <v>45060</v>
      </c>
      <c r="C2001" s="1">
        <v>45113</v>
      </c>
      <c r="D2001" t="s">
        <v>7</v>
      </c>
      <c r="E2001">
        <v>39</v>
      </c>
      <c r="F2001" t="s">
        <v>6</v>
      </c>
      <c r="G2001" s="19">
        <v>53</v>
      </c>
      <c r="H2001" t="s">
        <v>60</v>
      </c>
      <c r="I2001">
        <v>2023</v>
      </c>
    </row>
    <row r="2002" spans="1:9" x14ac:dyDescent="0.3">
      <c r="A2002">
        <v>215030324</v>
      </c>
      <c r="B2002" s="1">
        <v>45060</v>
      </c>
      <c r="C2002" s="1">
        <v>45152</v>
      </c>
      <c r="D2002" t="s">
        <v>7</v>
      </c>
      <c r="E2002">
        <v>39</v>
      </c>
      <c r="F2002" t="s">
        <v>6</v>
      </c>
      <c r="G2002" s="19">
        <v>92</v>
      </c>
      <c r="H2002" t="s">
        <v>60</v>
      </c>
      <c r="I2002">
        <v>2023</v>
      </c>
    </row>
    <row r="2003" spans="1:9" x14ac:dyDescent="0.3">
      <c r="A2003">
        <v>206087650</v>
      </c>
      <c r="B2003" s="1">
        <v>45060</v>
      </c>
      <c r="C2003" s="1">
        <v>45128</v>
      </c>
      <c r="D2003" t="s">
        <v>7</v>
      </c>
      <c r="E2003">
        <v>39</v>
      </c>
      <c r="F2003" t="s">
        <v>6</v>
      </c>
      <c r="G2003" s="19">
        <v>68</v>
      </c>
      <c r="H2003" t="s">
        <v>60</v>
      </c>
      <c r="I2003">
        <v>2023</v>
      </c>
    </row>
    <row r="2004" spans="1:9" x14ac:dyDescent="0.3">
      <c r="A2004">
        <v>136252657</v>
      </c>
      <c r="B2004" s="1">
        <v>45061</v>
      </c>
      <c r="C2004" s="1">
        <v>45112</v>
      </c>
      <c r="D2004" t="s">
        <v>7</v>
      </c>
      <c r="E2004">
        <v>39</v>
      </c>
      <c r="F2004" t="s">
        <v>6</v>
      </c>
      <c r="G2004" s="19">
        <v>51</v>
      </c>
      <c r="H2004" t="s">
        <v>61</v>
      </c>
      <c r="I2004">
        <v>2023</v>
      </c>
    </row>
    <row r="2005" spans="1:9" x14ac:dyDescent="0.3">
      <c r="A2005">
        <v>134753801</v>
      </c>
      <c r="B2005" s="1">
        <v>45061</v>
      </c>
      <c r="C2005" s="1">
        <v>45119</v>
      </c>
      <c r="D2005" t="s">
        <v>7</v>
      </c>
      <c r="E2005">
        <v>39</v>
      </c>
      <c r="F2005" t="s">
        <v>6</v>
      </c>
      <c r="G2005" s="19">
        <v>58</v>
      </c>
      <c r="H2005" t="s">
        <v>61</v>
      </c>
      <c r="I2005">
        <v>2023</v>
      </c>
    </row>
    <row r="2006" spans="1:9" x14ac:dyDescent="0.3">
      <c r="A2006">
        <v>155245092</v>
      </c>
      <c r="B2006" s="1">
        <v>45061</v>
      </c>
      <c r="C2006" s="1">
        <v>45093</v>
      </c>
      <c r="D2006" t="s">
        <v>7</v>
      </c>
      <c r="E2006">
        <v>39</v>
      </c>
      <c r="F2006" t="s">
        <v>6</v>
      </c>
      <c r="G2006" s="19">
        <v>32</v>
      </c>
      <c r="H2006" t="s">
        <v>61</v>
      </c>
      <c r="I2006">
        <v>2023</v>
      </c>
    </row>
    <row r="2007" spans="1:9" x14ac:dyDescent="0.3">
      <c r="A2007">
        <v>214905500</v>
      </c>
      <c r="B2007" s="1">
        <v>45061</v>
      </c>
      <c r="C2007" s="1">
        <v>45160</v>
      </c>
      <c r="D2007" t="s">
        <v>7</v>
      </c>
      <c r="E2007">
        <v>39</v>
      </c>
      <c r="F2007" t="s">
        <v>6</v>
      </c>
      <c r="G2007" s="19">
        <v>99</v>
      </c>
      <c r="H2007" t="s">
        <v>61</v>
      </c>
      <c r="I2007">
        <v>2023</v>
      </c>
    </row>
    <row r="2008" spans="1:9" x14ac:dyDescent="0.3">
      <c r="A2008">
        <v>215152504</v>
      </c>
      <c r="B2008" s="1">
        <v>45062</v>
      </c>
      <c r="D2008" t="s">
        <v>7</v>
      </c>
      <c r="E2008">
        <v>39</v>
      </c>
      <c r="F2008" t="s">
        <v>6</v>
      </c>
      <c r="H2008" t="s">
        <v>62</v>
      </c>
      <c r="I2008">
        <v>2023</v>
      </c>
    </row>
    <row r="2009" spans="1:9" x14ac:dyDescent="0.3">
      <c r="A2009">
        <v>215336639</v>
      </c>
      <c r="B2009" s="1">
        <v>45062</v>
      </c>
      <c r="D2009" t="s">
        <v>7</v>
      </c>
      <c r="E2009">
        <v>39</v>
      </c>
      <c r="F2009" t="s">
        <v>6</v>
      </c>
      <c r="H2009" t="s">
        <v>62</v>
      </c>
      <c r="I2009">
        <v>2023</v>
      </c>
    </row>
    <row r="2010" spans="1:9" x14ac:dyDescent="0.3">
      <c r="A2010">
        <v>215220026</v>
      </c>
      <c r="B2010" s="1">
        <v>45062</v>
      </c>
      <c r="D2010" t="s">
        <v>7</v>
      </c>
      <c r="E2010">
        <v>39</v>
      </c>
      <c r="F2010" t="s">
        <v>6</v>
      </c>
      <c r="H2010" t="s">
        <v>62</v>
      </c>
      <c r="I2010">
        <v>2023</v>
      </c>
    </row>
    <row r="2011" spans="1:9" x14ac:dyDescent="0.3">
      <c r="A2011">
        <v>202395800</v>
      </c>
      <c r="B2011" s="1">
        <v>45062</v>
      </c>
      <c r="D2011" t="s">
        <v>7</v>
      </c>
      <c r="E2011">
        <v>39</v>
      </c>
      <c r="F2011" t="s">
        <v>6</v>
      </c>
      <c r="H2011" t="s">
        <v>62</v>
      </c>
      <c r="I2011">
        <v>2023</v>
      </c>
    </row>
    <row r="2012" spans="1:9" x14ac:dyDescent="0.3">
      <c r="A2012">
        <v>215289431</v>
      </c>
      <c r="B2012" s="1">
        <v>45062</v>
      </c>
      <c r="C2012" s="1">
        <v>45160</v>
      </c>
      <c r="D2012" t="s">
        <v>7</v>
      </c>
      <c r="E2012">
        <v>39</v>
      </c>
      <c r="F2012" t="s">
        <v>6</v>
      </c>
      <c r="G2012" s="19">
        <v>98</v>
      </c>
      <c r="H2012" t="s">
        <v>62</v>
      </c>
      <c r="I2012">
        <v>2023</v>
      </c>
    </row>
    <row r="2013" spans="1:9" x14ac:dyDescent="0.3">
      <c r="A2013">
        <v>182102820</v>
      </c>
      <c r="B2013" s="1">
        <v>45062</v>
      </c>
      <c r="C2013" s="1">
        <v>45063</v>
      </c>
      <c r="D2013" t="s">
        <v>7</v>
      </c>
      <c r="E2013">
        <v>39</v>
      </c>
      <c r="F2013" t="s">
        <v>6</v>
      </c>
      <c r="G2013" s="19">
        <v>1</v>
      </c>
      <c r="H2013" t="s">
        <v>62</v>
      </c>
      <c r="I2013">
        <v>2023</v>
      </c>
    </row>
    <row r="2014" spans="1:9" x14ac:dyDescent="0.3">
      <c r="A2014">
        <v>215322558</v>
      </c>
      <c r="B2014" s="1">
        <v>45062</v>
      </c>
      <c r="C2014" s="1">
        <v>45100</v>
      </c>
      <c r="D2014" t="s">
        <v>7</v>
      </c>
      <c r="E2014">
        <v>39</v>
      </c>
      <c r="F2014" t="s">
        <v>6</v>
      </c>
      <c r="G2014" s="19">
        <v>38</v>
      </c>
      <c r="H2014" t="s">
        <v>62</v>
      </c>
      <c r="I2014">
        <v>2023</v>
      </c>
    </row>
    <row r="2015" spans="1:9" x14ac:dyDescent="0.3">
      <c r="A2015">
        <v>215347417</v>
      </c>
      <c r="B2015" s="1">
        <v>45062</v>
      </c>
      <c r="C2015" s="1">
        <v>45071</v>
      </c>
      <c r="D2015" t="s">
        <v>7</v>
      </c>
      <c r="E2015">
        <v>39</v>
      </c>
      <c r="F2015" t="s">
        <v>6</v>
      </c>
      <c r="G2015" s="19">
        <v>9</v>
      </c>
      <c r="H2015" t="s">
        <v>62</v>
      </c>
      <c r="I2015">
        <v>2023</v>
      </c>
    </row>
    <row r="2016" spans="1:9" x14ac:dyDescent="0.3">
      <c r="A2016">
        <v>215203944</v>
      </c>
      <c r="B2016" s="1">
        <v>45062</v>
      </c>
      <c r="C2016" s="1">
        <v>45118</v>
      </c>
      <c r="D2016" t="s">
        <v>7</v>
      </c>
      <c r="E2016">
        <v>39</v>
      </c>
      <c r="F2016" t="s">
        <v>6</v>
      </c>
      <c r="G2016" s="19">
        <v>56</v>
      </c>
      <c r="H2016" t="s">
        <v>62</v>
      </c>
      <c r="I2016">
        <v>2023</v>
      </c>
    </row>
    <row r="2017" spans="1:9" x14ac:dyDescent="0.3">
      <c r="A2017">
        <v>215350747</v>
      </c>
      <c r="B2017" s="1">
        <v>45062</v>
      </c>
      <c r="C2017" s="1">
        <v>45141</v>
      </c>
      <c r="D2017" t="s">
        <v>7</v>
      </c>
      <c r="E2017">
        <v>39</v>
      </c>
      <c r="F2017" t="s">
        <v>6</v>
      </c>
      <c r="G2017" s="19">
        <v>79</v>
      </c>
      <c r="H2017" t="s">
        <v>62</v>
      </c>
      <c r="I2017">
        <v>2023</v>
      </c>
    </row>
    <row r="2018" spans="1:9" x14ac:dyDescent="0.3">
      <c r="A2018">
        <v>215254830</v>
      </c>
      <c r="B2018" s="1">
        <v>45062</v>
      </c>
      <c r="C2018" s="1">
        <v>45140</v>
      </c>
      <c r="D2018" t="s">
        <v>7</v>
      </c>
      <c r="E2018">
        <v>39</v>
      </c>
      <c r="F2018" t="s">
        <v>6</v>
      </c>
      <c r="G2018" s="19">
        <v>78</v>
      </c>
      <c r="H2018" t="s">
        <v>62</v>
      </c>
      <c r="I2018">
        <v>2023</v>
      </c>
    </row>
    <row r="2019" spans="1:9" x14ac:dyDescent="0.3">
      <c r="A2019">
        <v>192908537</v>
      </c>
      <c r="B2019" s="1">
        <v>45062</v>
      </c>
      <c r="C2019" s="1">
        <v>45093</v>
      </c>
      <c r="D2019" t="s">
        <v>7</v>
      </c>
      <c r="E2019">
        <v>39</v>
      </c>
      <c r="F2019" t="s">
        <v>6</v>
      </c>
      <c r="G2019" s="19">
        <v>31</v>
      </c>
      <c r="H2019" t="s">
        <v>62</v>
      </c>
      <c r="I2019">
        <v>2023</v>
      </c>
    </row>
    <row r="2020" spans="1:9" x14ac:dyDescent="0.3">
      <c r="A2020">
        <v>123007965</v>
      </c>
      <c r="B2020" s="1">
        <v>45063</v>
      </c>
      <c r="D2020" t="s">
        <v>7</v>
      </c>
      <c r="E2020">
        <v>39</v>
      </c>
      <c r="F2020" t="s">
        <v>6</v>
      </c>
      <c r="H2020" t="s">
        <v>63</v>
      </c>
      <c r="I2020">
        <v>2023</v>
      </c>
    </row>
    <row r="2021" spans="1:9" x14ac:dyDescent="0.3">
      <c r="A2021">
        <v>151711223</v>
      </c>
      <c r="B2021" s="1">
        <v>45063</v>
      </c>
      <c r="D2021" t="s">
        <v>7</v>
      </c>
      <c r="E2021">
        <v>39</v>
      </c>
      <c r="F2021" t="s">
        <v>6</v>
      </c>
      <c r="H2021" t="s">
        <v>63</v>
      </c>
      <c r="I2021">
        <v>2023</v>
      </c>
    </row>
    <row r="2022" spans="1:9" x14ac:dyDescent="0.3">
      <c r="A2022">
        <v>130751382</v>
      </c>
      <c r="B2022" s="1">
        <v>45063</v>
      </c>
      <c r="D2022" t="s">
        <v>7</v>
      </c>
      <c r="E2022">
        <v>39</v>
      </c>
      <c r="F2022" t="s">
        <v>6</v>
      </c>
      <c r="H2022" t="s">
        <v>63</v>
      </c>
      <c r="I2022">
        <v>2023</v>
      </c>
    </row>
    <row r="2023" spans="1:9" x14ac:dyDescent="0.3">
      <c r="A2023">
        <v>126037254</v>
      </c>
      <c r="B2023" s="1">
        <v>45063</v>
      </c>
      <c r="D2023" t="s">
        <v>7</v>
      </c>
      <c r="E2023">
        <v>39</v>
      </c>
      <c r="F2023" t="s">
        <v>6</v>
      </c>
      <c r="H2023" t="s">
        <v>63</v>
      </c>
      <c r="I2023">
        <v>2023</v>
      </c>
    </row>
    <row r="2024" spans="1:9" x14ac:dyDescent="0.3">
      <c r="A2024">
        <v>133469770</v>
      </c>
      <c r="B2024" s="1">
        <v>45063</v>
      </c>
      <c r="D2024" t="s">
        <v>7</v>
      </c>
      <c r="E2024">
        <v>39</v>
      </c>
      <c r="F2024" t="s">
        <v>6</v>
      </c>
      <c r="H2024" t="s">
        <v>63</v>
      </c>
      <c r="I2024">
        <v>2023</v>
      </c>
    </row>
    <row r="2025" spans="1:9" x14ac:dyDescent="0.3">
      <c r="A2025">
        <v>133565657</v>
      </c>
      <c r="B2025" s="1">
        <v>45063</v>
      </c>
      <c r="C2025" s="1">
        <v>45148</v>
      </c>
      <c r="D2025" t="s">
        <v>7</v>
      </c>
      <c r="E2025">
        <v>39</v>
      </c>
      <c r="F2025" t="s">
        <v>6</v>
      </c>
      <c r="G2025" s="19">
        <v>85</v>
      </c>
      <c r="H2025" t="s">
        <v>63</v>
      </c>
      <c r="I2025">
        <v>2023</v>
      </c>
    </row>
    <row r="2026" spans="1:9" x14ac:dyDescent="0.3">
      <c r="A2026">
        <v>215307979</v>
      </c>
      <c r="B2026" s="1">
        <v>45063</v>
      </c>
      <c r="C2026" s="1">
        <v>45101</v>
      </c>
      <c r="D2026" t="s">
        <v>7</v>
      </c>
      <c r="E2026">
        <v>39</v>
      </c>
      <c r="F2026" t="s">
        <v>6</v>
      </c>
      <c r="G2026" s="19">
        <v>38</v>
      </c>
      <c r="H2026" t="s">
        <v>63</v>
      </c>
      <c r="I2026">
        <v>2023</v>
      </c>
    </row>
    <row r="2027" spans="1:9" x14ac:dyDescent="0.3">
      <c r="A2027">
        <v>174289942</v>
      </c>
      <c r="B2027" s="1">
        <v>45063</v>
      </c>
      <c r="C2027" s="1">
        <v>45128</v>
      </c>
      <c r="D2027" t="s">
        <v>7</v>
      </c>
      <c r="E2027">
        <v>39</v>
      </c>
      <c r="F2027" t="s">
        <v>6</v>
      </c>
      <c r="G2027" s="19">
        <v>65</v>
      </c>
      <c r="H2027" t="s">
        <v>63</v>
      </c>
      <c r="I2027">
        <v>2023</v>
      </c>
    </row>
    <row r="2028" spans="1:9" x14ac:dyDescent="0.3">
      <c r="A2028">
        <v>215366550</v>
      </c>
      <c r="B2028" s="1">
        <v>45063</v>
      </c>
      <c r="C2028" s="1">
        <v>45139</v>
      </c>
      <c r="D2028" t="s">
        <v>7</v>
      </c>
      <c r="E2028">
        <v>39</v>
      </c>
      <c r="F2028" t="s">
        <v>6</v>
      </c>
      <c r="G2028" s="19">
        <v>76</v>
      </c>
      <c r="H2028" t="s">
        <v>63</v>
      </c>
      <c r="I2028">
        <v>2023</v>
      </c>
    </row>
    <row r="2029" spans="1:9" x14ac:dyDescent="0.3">
      <c r="A2029">
        <v>210361390</v>
      </c>
      <c r="B2029" s="1">
        <v>45064</v>
      </c>
      <c r="D2029" t="s">
        <v>7</v>
      </c>
      <c r="E2029">
        <v>39</v>
      </c>
      <c r="F2029" t="s">
        <v>6</v>
      </c>
      <c r="H2029" t="s">
        <v>64</v>
      </c>
      <c r="I2029">
        <v>2023</v>
      </c>
    </row>
    <row r="2030" spans="1:9" x14ac:dyDescent="0.3">
      <c r="A2030">
        <v>120738319</v>
      </c>
      <c r="B2030" s="1">
        <v>45064</v>
      </c>
      <c r="D2030" t="s">
        <v>7</v>
      </c>
      <c r="E2030">
        <v>39</v>
      </c>
      <c r="F2030" t="s">
        <v>6</v>
      </c>
      <c r="H2030" t="s">
        <v>64</v>
      </c>
      <c r="I2030">
        <v>2023</v>
      </c>
    </row>
    <row r="2031" spans="1:9" x14ac:dyDescent="0.3">
      <c r="A2031">
        <v>214122861</v>
      </c>
      <c r="B2031" s="1">
        <v>45064</v>
      </c>
      <c r="D2031" t="s">
        <v>7</v>
      </c>
      <c r="E2031">
        <v>39</v>
      </c>
      <c r="F2031" t="s">
        <v>6</v>
      </c>
      <c r="H2031" t="s">
        <v>64</v>
      </c>
      <c r="I2031">
        <v>2023</v>
      </c>
    </row>
    <row r="2032" spans="1:9" x14ac:dyDescent="0.3">
      <c r="A2032">
        <v>214793162</v>
      </c>
      <c r="B2032" s="1">
        <v>45064</v>
      </c>
      <c r="D2032" t="s">
        <v>7</v>
      </c>
      <c r="E2032">
        <v>39</v>
      </c>
      <c r="F2032" t="s">
        <v>6</v>
      </c>
      <c r="H2032" t="s">
        <v>64</v>
      </c>
      <c r="I2032">
        <v>2023</v>
      </c>
    </row>
    <row r="2033" spans="1:9" x14ac:dyDescent="0.3">
      <c r="A2033">
        <v>215420480</v>
      </c>
      <c r="B2033" s="1">
        <v>45064</v>
      </c>
      <c r="C2033" s="1">
        <v>45175</v>
      </c>
      <c r="D2033" t="s">
        <v>7</v>
      </c>
      <c r="E2033">
        <v>39</v>
      </c>
      <c r="F2033" t="s">
        <v>6</v>
      </c>
      <c r="G2033" s="19">
        <v>111</v>
      </c>
      <c r="H2033" t="s">
        <v>64</v>
      </c>
      <c r="I2033">
        <v>2023</v>
      </c>
    </row>
    <row r="2034" spans="1:9" x14ac:dyDescent="0.3">
      <c r="A2034">
        <v>215415792</v>
      </c>
      <c r="B2034" s="1">
        <v>45064</v>
      </c>
      <c r="C2034" s="1">
        <v>45065</v>
      </c>
      <c r="D2034" t="s">
        <v>8</v>
      </c>
      <c r="E2034">
        <v>39</v>
      </c>
      <c r="F2034" t="s">
        <v>6</v>
      </c>
      <c r="G2034" s="19">
        <v>1</v>
      </c>
      <c r="H2034" t="s">
        <v>64</v>
      </c>
      <c r="I2034">
        <v>2023</v>
      </c>
    </row>
    <row r="2035" spans="1:9" x14ac:dyDescent="0.3">
      <c r="A2035">
        <v>152705871</v>
      </c>
      <c r="B2035" s="1">
        <v>45064</v>
      </c>
      <c r="C2035" s="1">
        <v>45071</v>
      </c>
      <c r="D2035" t="s">
        <v>7</v>
      </c>
      <c r="E2035">
        <v>39</v>
      </c>
      <c r="F2035" t="s">
        <v>6</v>
      </c>
      <c r="G2035" s="19">
        <v>7</v>
      </c>
      <c r="H2035" t="s">
        <v>64</v>
      </c>
      <c r="I2035">
        <v>2023</v>
      </c>
    </row>
    <row r="2036" spans="1:9" x14ac:dyDescent="0.3">
      <c r="A2036">
        <v>168265029</v>
      </c>
      <c r="B2036" s="1">
        <v>45064</v>
      </c>
      <c r="C2036" s="1">
        <v>45077</v>
      </c>
      <c r="D2036" t="s">
        <v>7</v>
      </c>
      <c r="E2036">
        <v>39</v>
      </c>
      <c r="F2036" t="s">
        <v>6</v>
      </c>
      <c r="G2036" s="19">
        <v>13</v>
      </c>
      <c r="H2036" t="s">
        <v>64</v>
      </c>
      <c r="I2036">
        <v>2023</v>
      </c>
    </row>
    <row r="2037" spans="1:9" x14ac:dyDescent="0.3">
      <c r="A2037">
        <v>215428908</v>
      </c>
      <c r="B2037" s="1">
        <v>45064</v>
      </c>
      <c r="C2037" s="1">
        <v>45096</v>
      </c>
      <c r="D2037" t="s">
        <v>7</v>
      </c>
      <c r="E2037">
        <v>39</v>
      </c>
      <c r="F2037" t="s">
        <v>6</v>
      </c>
      <c r="G2037" s="19">
        <v>32</v>
      </c>
      <c r="H2037" t="s">
        <v>64</v>
      </c>
      <c r="I2037">
        <v>2023</v>
      </c>
    </row>
    <row r="2038" spans="1:9" x14ac:dyDescent="0.3">
      <c r="A2038">
        <v>215189952</v>
      </c>
      <c r="B2038" s="1">
        <v>45064</v>
      </c>
      <c r="C2038" s="1">
        <v>45106</v>
      </c>
      <c r="D2038" t="s">
        <v>7</v>
      </c>
      <c r="E2038">
        <v>39</v>
      </c>
      <c r="F2038" t="s">
        <v>6</v>
      </c>
      <c r="G2038" s="19">
        <v>42</v>
      </c>
      <c r="H2038" t="s">
        <v>64</v>
      </c>
      <c r="I2038">
        <v>2023</v>
      </c>
    </row>
    <row r="2039" spans="1:9" x14ac:dyDescent="0.3">
      <c r="A2039">
        <v>208168256</v>
      </c>
      <c r="B2039" s="1">
        <v>45064</v>
      </c>
      <c r="C2039" s="1">
        <v>45095</v>
      </c>
      <c r="D2039" t="s">
        <v>7</v>
      </c>
      <c r="E2039">
        <v>39</v>
      </c>
      <c r="F2039" t="s">
        <v>6</v>
      </c>
      <c r="G2039" s="19">
        <v>31</v>
      </c>
      <c r="H2039" t="s">
        <v>64</v>
      </c>
      <c r="I2039">
        <v>2023</v>
      </c>
    </row>
    <row r="2040" spans="1:9" x14ac:dyDescent="0.3">
      <c r="A2040">
        <v>163193072</v>
      </c>
      <c r="B2040" s="1">
        <v>45065</v>
      </c>
      <c r="D2040" t="s">
        <v>7</v>
      </c>
      <c r="E2040">
        <v>39</v>
      </c>
      <c r="F2040" t="s">
        <v>6</v>
      </c>
      <c r="H2040" t="s">
        <v>65</v>
      </c>
      <c r="I2040">
        <v>2023</v>
      </c>
    </row>
    <row r="2041" spans="1:9" x14ac:dyDescent="0.3">
      <c r="A2041">
        <v>153449481</v>
      </c>
      <c r="B2041" s="1">
        <v>45065</v>
      </c>
      <c r="C2041" s="1">
        <v>45066</v>
      </c>
      <c r="D2041" t="s">
        <v>7</v>
      </c>
      <c r="E2041">
        <v>39</v>
      </c>
      <c r="F2041" t="s">
        <v>6</v>
      </c>
      <c r="G2041" s="19">
        <v>1</v>
      </c>
      <c r="H2041" t="s">
        <v>65</v>
      </c>
      <c r="I2041">
        <v>2023</v>
      </c>
    </row>
    <row r="2042" spans="1:9" x14ac:dyDescent="0.3">
      <c r="A2042">
        <v>215384745</v>
      </c>
      <c r="B2042" s="1">
        <v>45065</v>
      </c>
      <c r="C2042" s="1">
        <v>45095</v>
      </c>
      <c r="D2042" t="s">
        <v>7</v>
      </c>
      <c r="E2042">
        <v>39</v>
      </c>
      <c r="F2042" t="s">
        <v>6</v>
      </c>
      <c r="G2042" s="19">
        <v>30</v>
      </c>
      <c r="H2042" t="s">
        <v>65</v>
      </c>
      <c r="I2042">
        <v>2023</v>
      </c>
    </row>
    <row r="2043" spans="1:9" x14ac:dyDescent="0.3">
      <c r="A2043">
        <v>160904253</v>
      </c>
      <c r="B2043" s="1">
        <v>45065</v>
      </c>
      <c r="C2043" s="1">
        <v>45103</v>
      </c>
      <c r="D2043" t="s">
        <v>7</v>
      </c>
      <c r="E2043">
        <v>39</v>
      </c>
      <c r="F2043" t="s">
        <v>6</v>
      </c>
      <c r="G2043" s="19">
        <v>38</v>
      </c>
      <c r="H2043" t="s">
        <v>65</v>
      </c>
      <c r="I2043">
        <v>2023</v>
      </c>
    </row>
    <row r="2044" spans="1:9" x14ac:dyDescent="0.3">
      <c r="A2044">
        <v>215476119</v>
      </c>
      <c r="B2044" s="1">
        <v>45065</v>
      </c>
      <c r="C2044" s="1">
        <v>45103</v>
      </c>
      <c r="D2044" t="s">
        <v>7</v>
      </c>
      <c r="E2044">
        <v>39</v>
      </c>
      <c r="F2044" t="s">
        <v>6</v>
      </c>
      <c r="G2044" s="19">
        <v>38</v>
      </c>
      <c r="H2044" t="s">
        <v>65</v>
      </c>
      <c r="I2044">
        <v>2023</v>
      </c>
    </row>
    <row r="2045" spans="1:9" x14ac:dyDescent="0.3">
      <c r="A2045">
        <v>214624328</v>
      </c>
      <c r="B2045" s="1">
        <v>45065</v>
      </c>
      <c r="C2045" s="1">
        <v>45091</v>
      </c>
      <c r="D2045" t="s">
        <v>7</v>
      </c>
      <c r="E2045">
        <v>39</v>
      </c>
      <c r="F2045" t="s">
        <v>6</v>
      </c>
      <c r="G2045" s="19">
        <v>26</v>
      </c>
      <c r="H2045" t="s">
        <v>65</v>
      </c>
      <c r="I2045">
        <v>2023</v>
      </c>
    </row>
    <row r="2046" spans="1:9" x14ac:dyDescent="0.3">
      <c r="A2046">
        <v>215463105</v>
      </c>
      <c r="B2046" s="1">
        <v>45065</v>
      </c>
      <c r="C2046" s="1">
        <v>45073</v>
      </c>
      <c r="D2046" t="s">
        <v>7</v>
      </c>
      <c r="E2046">
        <v>39</v>
      </c>
      <c r="F2046" t="s">
        <v>6</v>
      </c>
      <c r="G2046" s="19">
        <v>8</v>
      </c>
      <c r="H2046" t="s">
        <v>65</v>
      </c>
      <c r="I2046">
        <v>2023</v>
      </c>
    </row>
    <row r="2047" spans="1:9" x14ac:dyDescent="0.3">
      <c r="A2047">
        <v>187368519</v>
      </c>
      <c r="B2047" s="1">
        <v>45065</v>
      </c>
      <c r="C2047" s="1">
        <v>45164</v>
      </c>
      <c r="D2047" t="s">
        <v>7</v>
      </c>
      <c r="E2047">
        <v>39</v>
      </c>
      <c r="F2047" t="s">
        <v>6</v>
      </c>
      <c r="G2047" s="19">
        <v>99</v>
      </c>
      <c r="H2047" t="s">
        <v>65</v>
      </c>
      <c r="I2047">
        <v>2023</v>
      </c>
    </row>
    <row r="2048" spans="1:9" x14ac:dyDescent="0.3">
      <c r="A2048">
        <v>206139986</v>
      </c>
      <c r="B2048" s="1">
        <v>45065</v>
      </c>
      <c r="C2048" s="1">
        <v>45125</v>
      </c>
      <c r="D2048" t="s">
        <v>7</v>
      </c>
      <c r="E2048">
        <v>39</v>
      </c>
      <c r="F2048" t="s">
        <v>6</v>
      </c>
      <c r="G2048" s="19">
        <v>60</v>
      </c>
      <c r="H2048" t="s">
        <v>65</v>
      </c>
      <c r="I2048">
        <v>2023</v>
      </c>
    </row>
    <row r="2049" spans="1:9" x14ac:dyDescent="0.3">
      <c r="A2049">
        <v>215473481</v>
      </c>
      <c r="B2049" s="1">
        <v>45065</v>
      </c>
      <c r="C2049" s="1">
        <v>45121</v>
      </c>
      <c r="D2049" t="s">
        <v>7</v>
      </c>
      <c r="E2049">
        <v>39</v>
      </c>
      <c r="F2049" t="s">
        <v>6</v>
      </c>
      <c r="G2049" s="19">
        <v>56</v>
      </c>
      <c r="H2049" t="s">
        <v>65</v>
      </c>
      <c r="I2049">
        <v>2023</v>
      </c>
    </row>
    <row r="2050" spans="1:9" x14ac:dyDescent="0.3">
      <c r="A2050">
        <v>214967111</v>
      </c>
      <c r="B2050" s="1">
        <v>45066</v>
      </c>
      <c r="D2050" t="s">
        <v>7</v>
      </c>
      <c r="E2050">
        <v>39</v>
      </c>
      <c r="F2050" t="s">
        <v>6</v>
      </c>
      <c r="H2050" t="s">
        <v>66</v>
      </c>
      <c r="I2050">
        <v>2023</v>
      </c>
    </row>
    <row r="2051" spans="1:9" x14ac:dyDescent="0.3">
      <c r="A2051">
        <v>215472324</v>
      </c>
      <c r="B2051" s="1">
        <v>45066</v>
      </c>
      <c r="C2051" s="1">
        <v>45104</v>
      </c>
      <c r="D2051" t="s">
        <v>7</v>
      </c>
      <c r="E2051">
        <v>39</v>
      </c>
      <c r="F2051" t="s">
        <v>6</v>
      </c>
      <c r="G2051" s="19">
        <v>38</v>
      </c>
      <c r="H2051" t="s">
        <v>66</v>
      </c>
      <c r="I2051">
        <v>2023</v>
      </c>
    </row>
    <row r="2052" spans="1:9" x14ac:dyDescent="0.3">
      <c r="A2052">
        <v>146557284</v>
      </c>
      <c r="B2052" s="1">
        <v>45066</v>
      </c>
      <c r="C2052" s="1">
        <v>45098</v>
      </c>
      <c r="D2052" t="s">
        <v>7</v>
      </c>
      <c r="E2052">
        <v>39</v>
      </c>
      <c r="F2052" t="s">
        <v>6</v>
      </c>
      <c r="G2052" s="19">
        <v>32</v>
      </c>
      <c r="H2052" t="s">
        <v>66</v>
      </c>
      <c r="I2052">
        <v>2023</v>
      </c>
    </row>
    <row r="2053" spans="1:9" x14ac:dyDescent="0.3">
      <c r="A2053">
        <v>215486098</v>
      </c>
      <c r="B2053" s="1">
        <v>45067</v>
      </c>
      <c r="D2053" t="s">
        <v>7</v>
      </c>
      <c r="E2053">
        <v>39</v>
      </c>
      <c r="F2053" t="s">
        <v>6</v>
      </c>
      <c r="H2053" t="s">
        <v>60</v>
      </c>
      <c r="I2053">
        <v>2023</v>
      </c>
    </row>
    <row r="2054" spans="1:9" x14ac:dyDescent="0.3">
      <c r="A2054">
        <v>119436804</v>
      </c>
      <c r="B2054" s="1">
        <v>45067</v>
      </c>
      <c r="D2054" t="s">
        <v>7</v>
      </c>
      <c r="E2054">
        <v>39</v>
      </c>
      <c r="F2054" t="s">
        <v>6</v>
      </c>
      <c r="H2054" t="s">
        <v>60</v>
      </c>
      <c r="I2054">
        <v>2023</v>
      </c>
    </row>
    <row r="2055" spans="1:9" x14ac:dyDescent="0.3">
      <c r="A2055">
        <v>127100688</v>
      </c>
      <c r="B2055" s="1">
        <v>45067</v>
      </c>
      <c r="C2055" s="1">
        <v>45068</v>
      </c>
      <c r="D2055" t="s">
        <v>7</v>
      </c>
      <c r="E2055">
        <v>39</v>
      </c>
      <c r="F2055" t="s">
        <v>6</v>
      </c>
      <c r="G2055" s="19">
        <v>1</v>
      </c>
      <c r="H2055" t="s">
        <v>60</v>
      </c>
      <c r="I2055">
        <v>2023</v>
      </c>
    </row>
    <row r="2056" spans="1:9" x14ac:dyDescent="0.3">
      <c r="A2056">
        <v>134524378</v>
      </c>
      <c r="B2056" s="1">
        <v>45067</v>
      </c>
      <c r="C2056" s="1">
        <v>45068</v>
      </c>
      <c r="D2056" t="s">
        <v>7</v>
      </c>
      <c r="E2056">
        <v>39</v>
      </c>
      <c r="F2056" t="s">
        <v>6</v>
      </c>
      <c r="G2056" s="19">
        <v>1</v>
      </c>
      <c r="H2056" t="s">
        <v>60</v>
      </c>
      <c r="I2056">
        <v>2023</v>
      </c>
    </row>
    <row r="2057" spans="1:9" x14ac:dyDescent="0.3">
      <c r="A2057">
        <v>134652589</v>
      </c>
      <c r="B2057" s="1">
        <v>45067</v>
      </c>
      <c r="C2057" s="1">
        <v>45067</v>
      </c>
      <c r="D2057" t="s">
        <v>7</v>
      </c>
      <c r="E2057">
        <v>39</v>
      </c>
      <c r="F2057" t="s">
        <v>6</v>
      </c>
      <c r="G2057" s="19">
        <v>0</v>
      </c>
      <c r="H2057" t="s">
        <v>60</v>
      </c>
      <c r="I2057">
        <v>2023</v>
      </c>
    </row>
    <row r="2058" spans="1:9" x14ac:dyDescent="0.3">
      <c r="A2058">
        <v>214134251</v>
      </c>
      <c r="B2058" s="1">
        <v>45067</v>
      </c>
      <c r="C2058" s="1">
        <v>45068</v>
      </c>
      <c r="D2058" t="s">
        <v>8</v>
      </c>
      <c r="E2058">
        <v>39</v>
      </c>
      <c r="F2058" t="s">
        <v>6</v>
      </c>
      <c r="G2058" s="19">
        <v>1</v>
      </c>
      <c r="H2058" t="s">
        <v>60</v>
      </c>
      <c r="I2058">
        <v>2023</v>
      </c>
    </row>
    <row r="2059" spans="1:9" x14ac:dyDescent="0.3">
      <c r="A2059">
        <v>215565049</v>
      </c>
      <c r="B2059" s="1">
        <v>45067</v>
      </c>
      <c r="C2059" s="1">
        <v>45067</v>
      </c>
      <c r="D2059" t="s">
        <v>7</v>
      </c>
      <c r="E2059">
        <v>39</v>
      </c>
      <c r="F2059" t="s">
        <v>6</v>
      </c>
      <c r="G2059" s="19">
        <v>0</v>
      </c>
      <c r="H2059" t="s">
        <v>60</v>
      </c>
      <c r="I2059">
        <v>2023</v>
      </c>
    </row>
    <row r="2060" spans="1:9" x14ac:dyDescent="0.3">
      <c r="A2060">
        <v>215606026</v>
      </c>
      <c r="B2060" s="1">
        <v>45067</v>
      </c>
      <c r="C2060" s="1">
        <v>45127</v>
      </c>
      <c r="D2060" t="s">
        <v>7</v>
      </c>
      <c r="E2060">
        <v>39</v>
      </c>
      <c r="F2060" t="s">
        <v>6</v>
      </c>
      <c r="G2060" s="19">
        <v>60</v>
      </c>
      <c r="H2060" t="s">
        <v>60</v>
      </c>
      <c r="I2060">
        <v>2023</v>
      </c>
    </row>
    <row r="2061" spans="1:9" x14ac:dyDescent="0.3">
      <c r="A2061">
        <v>215678881</v>
      </c>
      <c r="B2061" s="1">
        <v>45068</v>
      </c>
      <c r="D2061" t="s">
        <v>7</v>
      </c>
      <c r="E2061">
        <v>39</v>
      </c>
      <c r="F2061" t="s">
        <v>6</v>
      </c>
      <c r="H2061" t="s">
        <v>61</v>
      </c>
      <c r="I2061">
        <v>2023</v>
      </c>
    </row>
    <row r="2062" spans="1:9" x14ac:dyDescent="0.3">
      <c r="A2062">
        <v>212356610</v>
      </c>
      <c r="B2062" s="1">
        <v>45068</v>
      </c>
      <c r="D2062" t="s">
        <v>7</v>
      </c>
      <c r="E2062">
        <v>39</v>
      </c>
      <c r="F2062" t="s">
        <v>6</v>
      </c>
      <c r="H2062" t="s">
        <v>61</v>
      </c>
      <c r="I2062">
        <v>2023</v>
      </c>
    </row>
    <row r="2063" spans="1:9" x14ac:dyDescent="0.3">
      <c r="A2063">
        <v>215336118</v>
      </c>
      <c r="B2063" s="1">
        <v>45068</v>
      </c>
      <c r="D2063" t="s">
        <v>7</v>
      </c>
      <c r="E2063">
        <v>39</v>
      </c>
      <c r="F2063" t="s">
        <v>6</v>
      </c>
      <c r="H2063" t="s">
        <v>61</v>
      </c>
      <c r="I2063">
        <v>2023</v>
      </c>
    </row>
    <row r="2064" spans="1:9" x14ac:dyDescent="0.3">
      <c r="A2064">
        <v>215664306</v>
      </c>
      <c r="B2064" s="1">
        <v>45068</v>
      </c>
      <c r="D2064" t="s">
        <v>7</v>
      </c>
      <c r="E2064">
        <v>39</v>
      </c>
      <c r="F2064" t="s">
        <v>6</v>
      </c>
      <c r="H2064" t="s">
        <v>61</v>
      </c>
      <c r="I2064">
        <v>2023</v>
      </c>
    </row>
    <row r="2065" spans="1:9" x14ac:dyDescent="0.3">
      <c r="A2065">
        <v>215643802</v>
      </c>
      <c r="B2065" s="1">
        <v>45068</v>
      </c>
      <c r="D2065" t="s">
        <v>7</v>
      </c>
      <c r="E2065">
        <v>39</v>
      </c>
      <c r="F2065" t="s">
        <v>6</v>
      </c>
      <c r="H2065" t="s">
        <v>61</v>
      </c>
      <c r="I2065">
        <v>2023</v>
      </c>
    </row>
    <row r="2066" spans="1:9" x14ac:dyDescent="0.3">
      <c r="A2066">
        <v>206177720</v>
      </c>
      <c r="B2066" s="1">
        <v>45068</v>
      </c>
      <c r="C2066" s="1">
        <v>45069</v>
      </c>
      <c r="D2066" t="s">
        <v>8</v>
      </c>
      <c r="E2066">
        <v>39</v>
      </c>
      <c r="F2066" t="s">
        <v>6</v>
      </c>
      <c r="G2066" s="19">
        <v>1</v>
      </c>
      <c r="H2066" t="s">
        <v>61</v>
      </c>
      <c r="I2066">
        <v>2023</v>
      </c>
    </row>
    <row r="2067" spans="1:9" x14ac:dyDescent="0.3">
      <c r="A2067">
        <v>215691994</v>
      </c>
      <c r="B2067" s="1">
        <v>45068</v>
      </c>
      <c r="C2067" s="1">
        <v>45159</v>
      </c>
      <c r="D2067" t="s">
        <v>7</v>
      </c>
      <c r="E2067">
        <v>39</v>
      </c>
      <c r="F2067" t="s">
        <v>6</v>
      </c>
      <c r="G2067" s="19">
        <v>91</v>
      </c>
      <c r="H2067" t="s">
        <v>61</v>
      </c>
      <c r="I2067">
        <v>2023</v>
      </c>
    </row>
    <row r="2068" spans="1:9" x14ac:dyDescent="0.3">
      <c r="A2068">
        <v>215653406</v>
      </c>
      <c r="B2068" s="1">
        <v>45069</v>
      </c>
      <c r="D2068" t="s">
        <v>7</v>
      </c>
      <c r="E2068">
        <v>39</v>
      </c>
      <c r="F2068" t="s">
        <v>6</v>
      </c>
      <c r="H2068" t="s">
        <v>62</v>
      </c>
      <c r="I2068">
        <v>2023</v>
      </c>
    </row>
    <row r="2069" spans="1:9" x14ac:dyDescent="0.3">
      <c r="A2069">
        <v>215534470</v>
      </c>
      <c r="B2069" s="1">
        <v>45069</v>
      </c>
      <c r="C2069" s="1">
        <v>45070</v>
      </c>
      <c r="D2069" t="s">
        <v>7</v>
      </c>
      <c r="E2069">
        <v>39</v>
      </c>
      <c r="F2069" t="s">
        <v>6</v>
      </c>
      <c r="G2069" s="19">
        <v>1</v>
      </c>
      <c r="H2069" t="s">
        <v>62</v>
      </c>
      <c r="I2069">
        <v>2023</v>
      </c>
    </row>
    <row r="2070" spans="1:9" x14ac:dyDescent="0.3">
      <c r="A2070">
        <v>150751482</v>
      </c>
      <c r="B2070" s="1">
        <v>45069</v>
      </c>
      <c r="C2070" s="1">
        <v>45127</v>
      </c>
      <c r="D2070" t="s">
        <v>7</v>
      </c>
      <c r="E2070">
        <v>39</v>
      </c>
      <c r="F2070" t="s">
        <v>6</v>
      </c>
      <c r="G2070" s="19">
        <v>58</v>
      </c>
      <c r="H2070" t="s">
        <v>62</v>
      </c>
      <c r="I2070">
        <v>2023</v>
      </c>
    </row>
    <row r="2071" spans="1:9" x14ac:dyDescent="0.3">
      <c r="A2071">
        <v>208601341</v>
      </c>
      <c r="B2071" s="1">
        <v>45069</v>
      </c>
      <c r="C2071" s="1">
        <v>45115</v>
      </c>
      <c r="D2071" t="s">
        <v>7</v>
      </c>
      <c r="E2071">
        <v>39</v>
      </c>
      <c r="F2071" t="s">
        <v>6</v>
      </c>
      <c r="G2071" s="19">
        <v>46</v>
      </c>
      <c r="H2071" t="s">
        <v>62</v>
      </c>
      <c r="I2071">
        <v>2023</v>
      </c>
    </row>
    <row r="2072" spans="1:9" x14ac:dyDescent="0.3">
      <c r="A2072">
        <v>215473479</v>
      </c>
      <c r="B2072" s="1">
        <v>45069</v>
      </c>
      <c r="C2072" s="1">
        <v>45103</v>
      </c>
      <c r="D2072" t="s">
        <v>7</v>
      </c>
      <c r="E2072">
        <v>39</v>
      </c>
      <c r="F2072" t="s">
        <v>6</v>
      </c>
      <c r="G2072" s="19">
        <v>34</v>
      </c>
      <c r="H2072" t="s">
        <v>62</v>
      </c>
      <c r="I2072">
        <v>2023</v>
      </c>
    </row>
    <row r="2073" spans="1:9" x14ac:dyDescent="0.3">
      <c r="A2073">
        <v>215646044</v>
      </c>
      <c r="B2073" s="1">
        <v>45069</v>
      </c>
      <c r="C2073" s="1">
        <v>45098</v>
      </c>
      <c r="D2073" t="s">
        <v>7</v>
      </c>
      <c r="E2073">
        <v>39</v>
      </c>
      <c r="F2073" t="s">
        <v>6</v>
      </c>
      <c r="G2073" s="19">
        <v>29</v>
      </c>
      <c r="H2073" t="s">
        <v>62</v>
      </c>
      <c r="I2073">
        <v>2023</v>
      </c>
    </row>
    <row r="2074" spans="1:9" x14ac:dyDescent="0.3">
      <c r="A2074">
        <v>215686983</v>
      </c>
      <c r="B2074" s="1">
        <v>45069</v>
      </c>
      <c r="C2074" s="1">
        <v>45103</v>
      </c>
      <c r="D2074" t="s">
        <v>7</v>
      </c>
      <c r="E2074">
        <v>39</v>
      </c>
      <c r="F2074" t="s">
        <v>6</v>
      </c>
      <c r="G2074" s="19">
        <v>34</v>
      </c>
      <c r="H2074" t="s">
        <v>62</v>
      </c>
      <c r="I2074">
        <v>2023</v>
      </c>
    </row>
    <row r="2075" spans="1:9" x14ac:dyDescent="0.3">
      <c r="A2075">
        <v>215704655</v>
      </c>
      <c r="B2075" s="1">
        <v>45070</v>
      </c>
      <c r="D2075" t="s">
        <v>7</v>
      </c>
      <c r="E2075">
        <v>39</v>
      </c>
      <c r="F2075" t="s">
        <v>6</v>
      </c>
      <c r="H2075" t="s">
        <v>63</v>
      </c>
      <c r="I2075">
        <v>2023</v>
      </c>
    </row>
    <row r="2076" spans="1:9" x14ac:dyDescent="0.3">
      <c r="A2076">
        <v>131984682</v>
      </c>
      <c r="B2076" s="1">
        <v>45070</v>
      </c>
      <c r="C2076" s="1">
        <v>45116</v>
      </c>
      <c r="D2076" t="s">
        <v>7</v>
      </c>
      <c r="E2076">
        <v>39</v>
      </c>
      <c r="F2076" t="s">
        <v>6</v>
      </c>
      <c r="G2076" s="19">
        <v>46</v>
      </c>
      <c r="H2076" t="s">
        <v>63</v>
      </c>
      <c r="I2076">
        <v>2023</v>
      </c>
    </row>
    <row r="2077" spans="1:9" x14ac:dyDescent="0.3">
      <c r="A2077">
        <v>214698924</v>
      </c>
      <c r="B2077" s="1">
        <v>45070</v>
      </c>
      <c r="C2077" s="1">
        <v>45104</v>
      </c>
      <c r="D2077" t="s">
        <v>7</v>
      </c>
      <c r="E2077">
        <v>39</v>
      </c>
      <c r="F2077" t="s">
        <v>6</v>
      </c>
      <c r="G2077" s="19">
        <v>34</v>
      </c>
      <c r="H2077" t="s">
        <v>63</v>
      </c>
      <c r="I2077">
        <v>2023</v>
      </c>
    </row>
    <row r="2078" spans="1:9" x14ac:dyDescent="0.3">
      <c r="A2078">
        <v>183886863</v>
      </c>
      <c r="B2078" s="1">
        <v>45070</v>
      </c>
      <c r="C2078" s="1">
        <v>45070</v>
      </c>
      <c r="D2078" t="s">
        <v>7</v>
      </c>
      <c r="E2078">
        <v>39</v>
      </c>
      <c r="F2078" t="s">
        <v>6</v>
      </c>
      <c r="G2078" s="19">
        <v>0</v>
      </c>
      <c r="H2078" t="s">
        <v>63</v>
      </c>
      <c r="I2078">
        <v>2023</v>
      </c>
    </row>
    <row r="2079" spans="1:9" x14ac:dyDescent="0.3">
      <c r="A2079">
        <v>215869320</v>
      </c>
      <c r="B2079" s="1">
        <v>45071</v>
      </c>
      <c r="D2079" t="s">
        <v>7</v>
      </c>
      <c r="E2079">
        <v>39</v>
      </c>
      <c r="F2079" t="s">
        <v>6</v>
      </c>
      <c r="H2079" t="s">
        <v>64</v>
      </c>
      <c r="I2079">
        <v>2023</v>
      </c>
    </row>
    <row r="2080" spans="1:9" x14ac:dyDescent="0.3">
      <c r="A2080">
        <v>215616284</v>
      </c>
      <c r="B2080" s="1">
        <v>45071</v>
      </c>
      <c r="D2080" t="s">
        <v>7</v>
      </c>
      <c r="E2080">
        <v>39</v>
      </c>
      <c r="F2080" t="s">
        <v>6</v>
      </c>
      <c r="H2080" t="s">
        <v>64</v>
      </c>
      <c r="I2080">
        <v>2023</v>
      </c>
    </row>
    <row r="2081" spans="1:9" x14ac:dyDescent="0.3">
      <c r="A2081">
        <v>215896078</v>
      </c>
      <c r="B2081" s="1">
        <v>45071</v>
      </c>
      <c r="D2081" t="s">
        <v>7</v>
      </c>
      <c r="E2081">
        <v>39</v>
      </c>
      <c r="F2081" t="s">
        <v>6</v>
      </c>
      <c r="H2081" t="s">
        <v>64</v>
      </c>
      <c r="I2081">
        <v>2023</v>
      </c>
    </row>
    <row r="2082" spans="1:9" x14ac:dyDescent="0.3">
      <c r="A2082">
        <v>215910170</v>
      </c>
      <c r="B2082" s="1">
        <v>45071</v>
      </c>
      <c r="D2082" t="s">
        <v>7</v>
      </c>
      <c r="E2082">
        <v>39</v>
      </c>
      <c r="F2082" t="s">
        <v>6</v>
      </c>
      <c r="H2082" t="s">
        <v>64</v>
      </c>
      <c r="I2082">
        <v>2023</v>
      </c>
    </row>
    <row r="2083" spans="1:9" x14ac:dyDescent="0.3">
      <c r="A2083">
        <v>211754109</v>
      </c>
      <c r="B2083" s="1">
        <v>45071</v>
      </c>
      <c r="C2083" s="1">
        <v>45072</v>
      </c>
      <c r="D2083" t="s">
        <v>8</v>
      </c>
      <c r="E2083">
        <v>39</v>
      </c>
      <c r="F2083" t="s">
        <v>6</v>
      </c>
      <c r="G2083" s="19">
        <v>1</v>
      </c>
      <c r="H2083" t="s">
        <v>64</v>
      </c>
      <c r="I2083">
        <v>2023</v>
      </c>
    </row>
    <row r="2084" spans="1:9" x14ac:dyDescent="0.3">
      <c r="A2084">
        <v>205682690</v>
      </c>
      <c r="B2084" s="1">
        <v>45071</v>
      </c>
      <c r="C2084" s="1">
        <v>45072</v>
      </c>
      <c r="D2084" t="s">
        <v>7</v>
      </c>
      <c r="E2084">
        <v>39</v>
      </c>
      <c r="F2084" t="s">
        <v>6</v>
      </c>
      <c r="G2084" s="19">
        <v>1</v>
      </c>
      <c r="H2084" t="s">
        <v>64</v>
      </c>
      <c r="I2084">
        <v>2023</v>
      </c>
    </row>
    <row r="2085" spans="1:9" x14ac:dyDescent="0.3">
      <c r="A2085">
        <v>151412112</v>
      </c>
      <c r="B2085" s="1">
        <v>45071</v>
      </c>
      <c r="C2085" s="1">
        <v>45096</v>
      </c>
      <c r="D2085" t="s">
        <v>7</v>
      </c>
      <c r="E2085">
        <v>39</v>
      </c>
      <c r="F2085" t="s">
        <v>6</v>
      </c>
      <c r="G2085" s="19">
        <v>25</v>
      </c>
      <c r="H2085" t="s">
        <v>64</v>
      </c>
      <c r="I2085">
        <v>2023</v>
      </c>
    </row>
    <row r="2086" spans="1:9" x14ac:dyDescent="0.3">
      <c r="A2086">
        <v>154467458</v>
      </c>
      <c r="B2086" s="1">
        <v>45071</v>
      </c>
      <c r="C2086" s="1">
        <v>45106</v>
      </c>
      <c r="D2086" t="s">
        <v>7</v>
      </c>
      <c r="E2086">
        <v>39</v>
      </c>
      <c r="F2086" t="s">
        <v>6</v>
      </c>
      <c r="G2086" s="19">
        <v>35</v>
      </c>
      <c r="H2086" t="s">
        <v>64</v>
      </c>
      <c r="I2086">
        <v>2023</v>
      </c>
    </row>
    <row r="2087" spans="1:9" x14ac:dyDescent="0.3">
      <c r="A2087">
        <v>212339137</v>
      </c>
      <c r="B2087" s="1">
        <v>45071</v>
      </c>
      <c r="C2087" s="1">
        <v>45109</v>
      </c>
      <c r="D2087" t="s">
        <v>7</v>
      </c>
      <c r="E2087">
        <v>39</v>
      </c>
      <c r="F2087" t="s">
        <v>6</v>
      </c>
      <c r="G2087" s="19">
        <v>38</v>
      </c>
      <c r="H2087" t="s">
        <v>64</v>
      </c>
      <c r="I2087">
        <v>2023</v>
      </c>
    </row>
    <row r="2088" spans="1:9" x14ac:dyDescent="0.3">
      <c r="A2088">
        <v>215894271</v>
      </c>
      <c r="B2088" s="1">
        <v>45071</v>
      </c>
      <c r="C2088" s="1">
        <v>45092</v>
      </c>
      <c r="D2088" t="s">
        <v>7</v>
      </c>
      <c r="E2088">
        <v>39</v>
      </c>
      <c r="F2088" t="s">
        <v>6</v>
      </c>
      <c r="G2088" s="19">
        <v>21</v>
      </c>
      <c r="H2088" t="s">
        <v>64</v>
      </c>
      <c r="I2088">
        <v>2023</v>
      </c>
    </row>
    <row r="2089" spans="1:9" x14ac:dyDescent="0.3">
      <c r="A2089">
        <v>215908442</v>
      </c>
      <c r="B2089" s="1">
        <v>45071</v>
      </c>
      <c r="C2089" s="1">
        <v>45155</v>
      </c>
      <c r="D2089" t="s">
        <v>7</v>
      </c>
      <c r="E2089">
        <v>39</v>
      </c>
      <c r="F2089" t="s">
        <v>6</v>
      </c>
      <c r="G2089" s="19">
        <v>84</v>
      </c>
      <c r="H2089" t="s">
        <v>64</v>
      </c>
      <c r="I2089">
        <v>2023</v>
      </c>
    </row>
    <row r="2090" spans="1:9" x14ac:dyDescent="0.3">
      <c r="A2090">
        <v>136032360</v>
      </c>
      <c r="B2090" s="1">
        <v>45071</v>
      </c>
      <c r="C2090" s="1">
        <v>45163</v>
      </c>
      <c r="D2090" t="s">
        <v>7</v>
      </c>
      <c r="E2090">
        <v>39</v>
      </c>
      <c r="F2090" t="s">
        <v>6</v>
      </c>
      <c r="G2090" s="19">
        <v>92</v>
      </c>
      <c r="H2090" t="s">
        <v>64</v>
      </c>
      <c r="I2090">
        <v>2023</v>
      </c>
    </row>
    <row r="2091" spans="1:9" x14ac:dyDescent="0.3">
      <c r="A2091">
        <v>215956542</v>
      </c>
      <c r="B2091" s="1">
        <v>45072</v>
      </c>
      <c r="D2091" t="s">
        <v>7</v>
      </c>
      <c r="E2091">
        <v>39</v>
      </c>
      <c r="F2091" t="s">
        <v>6</v>
      </c>
      <c r="H2091" t="s">
        <v>65</v>
      </c>
      <c r="I2091">
        <v>2023</v>
      </c>
    </row>
    <row r="2092" spans="1:9" x14ac:dyDescent="0.3">
      <c r="A2092">
        <v>215947247</v>
      </c>
      <c r="B2092" s="1">
        <v>45072</v>
      </c>
      <c r="D2092" t="s">
        <v>7</v>
      </c>
      <c r="E2092">
        <v>39</v>
      </c>
      <c r="F2092" t="s">
        <v>6</v>
      </c>
      <c r="H2092" t="s">
        <v>65</v>
      </c>
      <c r="I2092">
        <v>2023</v>
      </c>
    </row>
    <row r="2093" spans="1:9" x14ac:dyDescent="0.3">
      <c r="A2093">
        <v>122830574</v>
      </c>
      <c r="B2093" s="1">
        <v>45072</v>
      </c>
      <c r="D2093" t="s">
        <v>7</v>
      </c>
      <c r="E2093">
        <v>39</v>
      </c>
      <c r="F2093" t="s">
        <v>6</v>
      </c>
      <c r="H2093" t="s">
        <v>65</v>
      </c>
      <c r="I2093">
        <v>2023</v>
      </c>
    </row>
    <row r="2094" spans="1:9" x14ac:dyDescent="0.3">
      <c r="A2094">
        <v>206904025</v>
      </c>
      <c r="B2094" s="1">
        <v>45072</v>
      </c>
      <c r="C2094" s="1">
        <v>45073</v>
      </c>
      <c r="D2094" t="s">
        <v>8</v>
      </c>
      <c r="E2094">
        <v>39</v>
      </c>
      <c r="F2094" t="s">
        <v>6</v>
      </c>
      <c r="G2094" s="19">
        <v>1</v>
      </c>
      <c r="H2094" t="s">
        <v>65</v>
      </c>
      <c r="I2094">
        <v>2023</v>
      </c>
    </row>
    <row r="2095" spans="1:9" x14ac:dyDescent="0.3">
      <c r="A2095">
        <v>153396366</v>
      </c>
      <c r="B2095" s="1">
        <v>45072</v>
      </c>
      <c r="C2095" s="1">
        <v>45104</v>
      </c>
      <c r="D2095" t="s">
        <v>7</v>
      </c>
      <c r="E2095">
        <v>39</v>
      </c>
      <c r="F2095" t="s">
        <v>6</v>
      </c>
      <c r="G2095" s="19">
        <v>32</v>
      </c>
      <c r="H2095" t="s">
        <v>65</v>
      </c>
      <c r="I2095">
        <v>2023</v>
      </c>
    </row>
    <row r="2096" spans="1:9" x14ac:dyDescent="0.3">
      <c r="A2096">
        <v>200304509</v>
      </c>
      <c r="B2096" s="1">
        <v>45072</v>
      </c>
      <c r="C2096" s="1">
        <v>45094</v>
      </c>
      <c r="D2096" t="s">
        <v>7</v>
      </c>
      <c r="E2096">
        <v>39</v>
      </c>
      <c r="F2096" t="s">
        <v>6</v>
      </c>
      <c r="G2096" s="19">
        <v>22</v>
      </c>
      <c r="H2096" t="s">
        <v>65</v>
      </c>
      <c r="I2096">
        <v>2023</v>
      </c>
    </row>
    <row r="2097" spans="1:9" x14ac:dyDescent="0.3">
      <c r="A2097">
        <v>215867874</v>
      </c>
      <c r="B2097" s="1">
        <v>45072</v>
      </c>
      <c r="C2097" s="1">
        <v>45095</v>
      </c>
      <c r="D2097" t="s">
        <v>7</v>
      </c>
      <c r="E2097">
        <v>39</v>
      </c>
      <c r="F2097" t="s">
        <v>6</v>
      </c>
      <c r="G2097" s="19">
        <v>23</v>
      </c>
      <c r="H2097" t="s">
        <v>65</v>
      </c>
      <c r="I2097">
        <v>2023</v>
      </c>
    </row>
    <row r="2098" spans="1:9" x14ac:dyDescent="0.3">
      <c r="A2098">
        <v>215869887</v>
      </c>
      <c r="B2098" s="1">
        <v>45072</v>
      </c>
      <c r="C2098" s="1">
        <v>45088</v>
      </c>
      <c r="D2098" t="s">
        <v>7</v>
      </c>
      <c r="E2098">
        <v>39</v>
      </c>
      <c r="F2098" t="s">
        <v>6</v>
      </c>
      <c r="G2098" s="19">
        <v>16</v>
      </c>
      <c r="H2098" t="s">
        <v>65</v>
      </c>
      <c r="I2098">
        <v>2023</v>
      </c>
    </row>
    <row r="2099" spans="1:9" x14ac:dyDescent="0.3">
      <c r="A2099">
        <v>134652589</v>
      </c>
      <c r="B2099" s="1">
        <v>45072</v>
      </c>
      <c r="C2099" s="1">
        <v>45087</v>
      </c>
      <c r="D2099" t="s">
        <v>7</v>
      </c>
      <c r="E2099">
        <v>39</v>
      </c>
      <c r="F2099" t="s">
        <v>6</v>
      </c>
      <c r="G2099" s="19">
        <v>15</v>
      </c>
      <c r="H2099" t="s">
        <v>65</v>
      </c>
      <c r="I2099">
        <v>2023</v>
      </c>
    </row>
    <row r="2100" spans="1:9" x14ac:dyDescent="0.3">
      <c r="A2100">
        <v>215759517</v>
      </c>
      <c r="B2100" s="1">
        <v>45072</v>
      </c>
      <c r="C2100" s="1">
        <v>45171</v>
      </c>
      <c r="D2100" t="s">
        <v>7</v>
      </c>
      <c r="E2100">
        <v>39</v>
      </c>
      <c r="F2100" t="s">
        <v>6</v>
      </c>
      <c r="G2100" s="19">
        <v>99</v>
      </c>
      <c r="H2100" t="s">
        <v>65</v>
      </c>
      <c r="I2100">
        <v>2023</v>
      </c>
    </row>
    <row r="2101" spans="1:9" x14ac:dyDescent="0.3">
      <c r="A2101">
        <v>152004313</v>
      </c>
      <c r="B2101" s="1">
        <v>45072</v>
      </c>
      <c r="C2101" s="1">
        <v>45111</v>
      </c>
      <c r="D2101" t="s">
        <v>7</v>
      </c>
      <c r="E2101">
        <v>39</v>
      </c>
      <c r="F2101" t="s">
        <v>6</v>
      </c>
      <c r="G2101" s="19">
        <v>39</v>
      </c>
      <c r="H2101" t="s">
        <v>65</v>
      </c>
      <c r="I2101">
        <v>2023</v>
      </c>
    </row>
    <row r="2102" spans="1:9" x14ac:dyDescent="0.3">
      <c r="A2102">
        <v>215931788</v>
      </c>
      <c r="B2102" s="1">
        <v>45072</v>
      </c>
      <c r="C2102" s="1">
        <v>45104</v>
      </c>
      <c r="D2102" t="s">
        <v>7</v>
      </c>
      <c r="E2102">
        <v>39</v>
      </c>
      <c r="F2102" t="s">
        <v>6</v>
      </c>
      <c r="G2102" s="19">
        <v>32</v>
      </c>
      <c r="H2102" t="s">
        <v>65</v>
      </c>
      <c r="I2102">
        <v>2023</v>
      </c>
    </row>
    <row r="2103" spans="1:9" x14ac:dyDescent="0.3">
      <c r="A2103">
        <v>215792692</v>
      </c>
      <c r="B2103" s="1">
        <v>45072</v>
      </c>
      <c r="C2103" s="1">
        <v>45132</v>
      </c>
      <c r="D2103" t="s">
        <v>7</v>
      </c>
      <c r="E2103">
        <v>39</v>
      </c>
      <c r="F2103" t="s">
        <v>6</v>
      </c>
      <c r="G2103" s="19">
        <v>60</v>
      </c>
      <c r="H2103" t="s">
        <v>65</v>
      </c>
      <c r="I2103">
        <v>2023</v>
      </c>
    </row>
    <row r="2104" spans="1:9" x14ac:dyDescent="0.3">
      <c r="A2104">
        <v>205507364</v>
      </c>
      <c r="B2104" s="1">
        <v>45072</v>
      </c>
      <c r="C2104" s="1">
        <v>45133</v>
      </c>
      <c r="D2104" t="s">
        <v>7</v>
      </c>
      <c r="E2104">
        <v>39</v>
      </c>
      <c r="F2104" t="s">
        <v>6</v>
      </c>
      <c r="G2104" s="19">
        <v>61</v>
      </c>
      <c r="H2104" t="s">
        <v>65</v>
      </c>
      <c r="I2104">
        <v>2023</v>
      </c>
    </row>
    <row r="2105" spans="1:9" x14ac:dyDescent="0.3">
      <c r="A2105">
        <v>130016916</v>
      </c>
      <c r="B2105" s="1">
        <v>45072</v>
      </c>
      <c r="C2105" s="1">
        <v>45133</v>
      </c>
      <c r="D2105" t="s">
        <v>7</v>
      </c>
      <c r="E2105">
        <v>39</v>
      </c>
      <c r="F2105" t="s">
        <v>6</v>
      </c>
      <c r="G2105" s="19">
        <v>61</v>
      </c>
      <c r="H2105" t="s">
        <v>65</v>
      </c>
      <c r="I2105">
        <v>2023</v>
      </c>
    </row>
    <row r="2106" spans="1:9" x14ac:dyDescent="0.3">
      <c r="A2106">
        <v>174991614</v>
      </c>
      <c r="B2106" s="1">
        <v>45073</v>
      </c>
      <c r="D2106" t="s">
        <v>7</v>
      </c>
      <c r="E2106">
        <v>39</v>
      </c>
      <c r="F2106" t="s">
        <v>6</v>
      </c>
      <c r="H2106" t="s">
        <v>66</v>
      </c>
      <c r="I2106">
        <v>2023</v>
      </c>
    </row>
    <row r="2107" spans="1:9" x14ac:dyDescent="0.3">
      <c r="A2107">
        <v>118197872</v>
      </c>
      <c r="B2107" s="1">
        <v>45073</v>
      </c>
      <c r="D2107" t="s">
        <v>7</v>
      </c>
      <c r="E2107">
        <v>39</v>
      </c>
      <c r="F2107" t="s">
        <v>6</v>
      </c>
      <c r="H2107" t="s">
        <v>66</v>
      </c>
      <c r="I2107">
        <v>2023</v>
      </c>
    </row>
    <row r="2108" spans="1:9" x14ac:dyDescent="0.3">
      <c r="A2108">
        <v>215906516</v>
      </c>
      <c r="B2108" s="1">
        <v>45073</v>
      </c>
      <c r="D2108" t="s">
        <v>7</v>
      </c>
      <c r="E2108">
        <v>39</v>
      </c>
      <c r="F2108" t="s">
        <v>6</v>
      </c>
      <c r="H2108" t="s">
        <v>66</v>
      </c>
      <c r="I2108">
        <v>2023</v>
      </c>
    </row>
    <row r="2109" spans="1:9" x14ac:dyDescent="0.3">
      <c r="A2109">
        <v>116197941</v>
      </c>
      <c r="B2109" s="1">
        <v>45073</v>
      </c>
      <c r="C2109" s="1">
        <v>45141</v>
      </c>
      <c r="D2109" t="s">
        <v>7</v>
      </c>
      <c r="E2109">
        <v>39</v>
      </c>
      <c r="F2109" t="s">
        <v>6</v>
      </c>
      <c r="G2109" s="19">
        <v>68</v>
      </c>
      <c r="H2109" t="s">
        <v>66</v>
      </c>
      <c r="I2109">
        <v>2023</v>
      </c>
    </row>
    <row r="2110" spans="1:9" x14ac:dyDescent="0.3">
      <c r="A2110">
        <v>215973039</v>
      </c>
      <c r="B2110" s="1">
        <v>45073</v>
      </c>
      <c r="C2110" s="1">
        <v>45080</v>
      </c>
      <c r="D2110" t="s">
        <v>7</v>
      </c>
      <c r="E2110">
        <v>39</v>
      </c>
      <c r="F2110" t="s">
        <v>6</v>
      </c>
      <c r="G2110" s="19">
        <v>7</v>
      </c>
      <c r="H2110" t="s">
        <v>66</v>
      </c>
      <c r="I2110">
        <v>2023</v>
      </c>
    </row>
    <row r="2111" spans="1:9" x14ac:dyDescent="0.3">
      <c r="A2111">
        <v>147761700</v>
      </c>
      <c r="B2111" s="1">
        <v>45073</v>
      </c>
      <c r="C2111" s="1">
        <v>45085</v>
      </c>
      <c r="D2111" t="s">
        <v>7</v>
      </c>
      <c r="E2111">
        <v>39</v>
      </c>
      <c r="F2111" t="s">
        <v>6</v>
      </c>
      <c r="G2111" s="19">
        <v>12</v>
      </c>
      <c r="H2111" t="s">
        <v>66</v>
      </c>
      <c r="I2111">
        <v>2023</v>
      </c>
    </row>
    <row r="2112" spans="1:9" x14ac:dyDescent="0.3">
      <c r="A2112">
        <v>215943650</v>
      </c>
      <c r="B2112" s="1">
        <v>45073</v>
      </c>
      <c r="C2112" s="1">
        <v>45111</v>
      </c>
      <c r="D2112" t="s">
        <v>7</v>
      </c>
      <c r="E2112">
        <v>39</v>
      </c>
      <c r="F2112" t="s">
        <v>6</v>
      </c>
      <c r="G2112" s="19">
        <v>38</v>
      </c>
      <c r="H2112" t="s">
        <v>66</v>
      </c>
      <c r="I2112">
        <v>2023</v>
      </c>
    </row>
    <row r="2113" spans="1:9" x14ac:dyDescent="0.3">
      <c r="A2113">
        <v>157259062</v>
      </c>
      <c r="B2113" s="1">
        <v>45073</v>
      </c>
      <c r="C2113" s="1">
        <v>45111</v>
      </c>
      <c r="D2113" t="s">
        <v>7</v>
      </c>
      <c r="E2113">
        <v>39</v>
      </c>
      <c r="F2113" t="s">
        <v>6</v>
      </c>
      <c r="G2113" s="19">
        <v>38</v>
      </c>
      <c r="H2113" t="s">
        <v>66</v>
      </c>
      <c r="I2113">
        <v>2023</v>
      </c>
    </row>
    <row r="2114" spans="1:9" x14ac:dyDescent="0.3">
      <c r="A2114">
        <v>216001506</v>
      </c>
      <c r="B2114" s="1">
        <v>45073</v>
      </c>
      <c r="C2114" s="1">
        <v>45133</v>
      </c>
      <c r="D2114" t="s">
        <v>7</v>
      </c>
      <c r="E2114">
        <v>39</v>
      </c>
      <c r="F2114" t="s">
        <v>6</v>
      </c>
      <c r="G2114" s="19">
        <v>60</v>
      </c>
      <c r="H2114" t="s">
        <v>66</v>
      </c>
      <c r="I2114">
        <v>2023</v>
      </c>
    </row>
    <row r="2115" spans="1:9" x14ac:dyDescent="0.3">
      <c r="A2115">
        <v>199306900</v>
      </c>
      <c r="B2115" s="1">
        <v>45073</v>
      </c>
      <c r="C2115" s="1">
        <v>45172</v>
      </c>
      <c r="D2115" t="s">
        <v>7</v>
      </c>
      <c r="E2115">
        <v>39</v>
      </c>
      <c r="F2115" t="s">
        <v>6</v>
      </c>
      <c r="G2115" s="19">
        <v>99</v>
      </c>
      <c r="H2115" t="s">
        <v>66</v>
      </c>
      <c r="I2115">
        <v>2023</v>
      </c>
    </row>
    <row r="2116" spans="1:9" x14ac:dyDescent="0.3">
      <c r="A2116">
        <v>156245288</v>
      </c>
      <c r="B2116" s="1">
        <v>45074</v>
      </c>
      <c r="D2116" t="s">
        <v>7</v>
      </c>
      <c r="E2116">
        <v>39</v>
      </c>
      <c r="F2116" t="s">
        <v>6</v>
      </c>
      <c r="H2116" t="s">
        <v>60</v>
      </c>
      <c r="I2116">
        <v>2023</v>
      </c>
    </row>
    <row r="2117" spans="1:9" x14ac:dyDescent="0.3">
      <c r="A2117">
        <v>211904765</v>
      </c>
      <c r="B2117" s="1">
        <v>45074</v>
      </c>
      <c r="D2117" t="s">
        <v>7</v>
      </c>
      <c r="E2117">
        <v>39</v>
      </c>
      <c r="F2117" t="s">
        <v>6</v>
      </c>
      <c r="H2117" t="s">
        <v>60</v>
      </c>
      <c r="I2117">
        <v>2023</v>
      </c>
    </row>
    <row r="2118" spans="1:9" x14ac:dyDescent="0.3">
      <c r="A2118">
        <v>215832805</v>
      </c>
      <c r="B2118" s="1">
        <v>45074</v>
      </c>
      <c r="D2118" t="s">
        <v>7</v>
      </c>
      <c r="E2118">
        <v>39</v>
      </c>
      <c r="F2118" t="s">
        <v>6</v>
      </c>
      <c r="H2118" t="s">
        <v>60</v>
      </c>
      <c r="I2118">
        <v>2023</v>
      </c>
    </row>
    <row r="2119" spans="1:9" x14ac:dyDescent="0.3">
      <c r="A2119">
        <v>156403612</v>
      </c>
      <c r="B2119" s="1">
        <v>45075</v>
      </c>
      <c r="D2119" t="s">
        <v>7</v>
      </c>
      <c r="E2119">
        <v>39</v>
      </c>
      <c r="F2119" t="s">
        <v>6</v>
      </c>
      <c r="H2119" t="s">
        <v>61</v>
      </c>
      <c r="I2119">
        <v>2023</v>
      </c>
    </row>
    <row r="2120" spans="1:9" x14ac:dyDescent="0.3">
      <c r="A2120">
        <v>216062001</v>
      </c>
      <c r="B2120" s="1">
        <v>45075</v>
      </c>
      <c r="D2120" t="s">
        <v>7</v>
      </c>
      <c r="E2120">
        <v>39</v>
      </c>
      <c r="F2120" t="s">
        <v>6</v>
      </c>
      <c r="H2120" t="s">
        <v>61</v>
      </c>
      <c r="I2120">
        <v>2023</v>
      </c>
    </row>
    <row r="2121" spans="1:9" x14ac:dyDescent="0.3">
      <c r="A2121">
        <v>216083936</v>
      </c>
      <c r="B2121" s="1">
        <v>45075</v>
      </c>
      <c r="D2121" t="s">
        <v>7</v>
      </c>
      <c r="E2121">
        <v>39</v>
      </c>
      <c r="F2121" t="s">
        <v>6</v>
      </c>
      <c r="H2121" t="s">
        <v>61</v>
      </c>
      <c r="I2121">
        <v>2023</v>
      </c>
    </row>
    <row r="2122" spans="1:9" x14ac:dyDescent="0.3">
      <c r="A2122">
        <v>215568210</v>
      </c>
      <c r="B2122" s="1">
        <v>45075</v>
      </c>
      <c r="C2122" s="1">
        <v>45166</v>
      </c>
      <c r="D2122" t="s">
        <v>7</v>
      </c>
      <c r="E2122">
        <v>39</v>
      </c>
      <c r="F2122" t="s">
        <v>6</v>
      </c>
      <c r="G2122" s="19">
        <v>91</v>
      </c>
      <c r="H2122" t="s">
        <v>61</v>
      </c>
      <c r="I2122">
        <v>2023</v>
      </c>
    </row>
    <row r="2123" spans="1:9" x14ac:dyDescent="0.3">
      <c r="A2123">
        <v>181480437</v>
      </c>
      <c r="B2123" s="1">
        <v>45075</v>
      </c>
      <c r="C2123" s="1">
        <v>45110</v>
      </c>
      <c r="D2123" t="s">
        <v>7</v>
      </c>
      <c r="E2123">
        <v>39</v>
      </c>
      <c r="F2123" t="s">
        <v>6</v>
      </c>
      <c r="G2123" s="19">
        <v>35</v>
      </c>
      <c r="H2123" t="s">
        <v>61</v>
      </c>
      <c r="I2123">
        <v>2023</v>
      </c>
    </row>
    <row r="2124" spans="1:9" x14ac:dyDescent="0.3">
      <c r="A2124">
        <v>147197398</v>
      </c>
      <c r="B2124" s="1">
        <v>45076</v>
      </c>
      <c r="D2124" t="s">
        <v>7</v>
      </c>
      <c r="E2124">
        <v>39</v>
      </c>
      <c r="F2124" t="s">
        <v>6</v>
      </c>
      <c r="H2124" t="s">
        <v>62</v>
      </c>
      <c r="I2124">
        <v>2023</v>
      </c>
    </row>
    <row r="2125" spans="1:9" x14ac:dyDescent="0.3">
      <c r="A2125">
        <v>212051648</v>
      </c>
      <c r="B2125" s="1">
        <v>45076</v>
      </c>
      <c r="D2125" t="s">
        <v>7</v>
      </c>
      <c r="E2125">
        <v>39</v>
      </c>
      <c r="F2125" t="s">
        <v>6</v>
      </c>
      <c r="H2125" t="s">
        <v>62</v>
      </c>
      <c r="I2125">
        <v>2023</v>
      </c>
    </row>
    <row r="2126" spans="1:9" x14ac:dyDescent="0.3">
      <c r="A2126">
        <v>216141502</v>
      </c>
      <c r="B2126" s="1">
        <v>45076</v>
      </c>
      <c r="D2126" t="s">
        <v>7</v>
      </c>
      <c r="E2126">
        <v>39</v>
      </c>
      <c r="F2126" t="s">
        <v>6</v>
      </c>
      <c r="H2126" t="s">
        <v>62</v>
      </c>
      <c r="I2126">
        <v>2023</v>
      </c>
    </row>
    <row r="2127" spans="1:9" x14ac:dyDescent="0.3">
      <c r="A2127">
        <v>216136975</v>
      </c>
      <c r="B2127" s="1">
        <v>45076</v>
      </c>
      <c r="D2127" t="s">
        <v>7</v>
      </c>
      <c r="E2127">
        <v>39</v>
      </c>
      <c r="F2127" t="s">
        <v>6</v>
      </c>
      <c r="H2127" t="s">
        <v>62</v>
      </c>
      <c r="I2127">
        <v>2023</v>
      </c>
    </row>
    <row r="2128" spans="1:9" x14ac:dyDescent="0.3">
      <c r="A2128">
        <v>213240907</v>
      </c>
      <c r="B2128" s="1">
        <v>45076</v>
      </c>
      <c r="D2128" t="s">
        <v>7</v>
      </c>
      <c r="E2128">
        <v>39</v>
      </c>
      <c r="F2128" t="s">
        <v>6</v>
      </c>
      <c r="H2128" t="s">
        <v>62</v>
      </c>
      <c r="I2128">
        <v>2023</v>
      </c>
    </row>
    <row r="2129" spans="1:9" x14ac:dyDescent="0.3">
      <c r="A2129">
        <v>204739496</v>
      </c>
      <c r="B2129" s="1">
        <v>45076</v>
      </c>
      <c r="C2129" s="1">
        <v>45172</v>
      </c>
      <c r="D2129" t="s">
        <v>7</v>
      </c>
      <c r="E2129">
        <v>39</v>
      </c>
      <c r="F2129" t="s">
        <v>6</v>
      </c>
      <c r="G2129" s="19">
        <v>96</v>
      </c>
      <c r="H2129" t="s">
        <v>62</v>
      </c>
      <c r="I2129">
        <v>2023</v>
      </c>
    </row>
    <row r="2130" spans="1:9" x14ac:dyDescent="0.3">
      <c r="A2130">
        <v>203366396</v>
      </c>
      <c r="B2130" s="1">
        <v>45076</v>
      </c>
      <c r="C2130" s="1">
        <v>45077</v>
      </c>
      <c r="D2130" t="s">
        <v>7</v>
      </c>
      <c r="E2130">
        <v>39</v>
      </c>
      <c r="F2130" t="s">
        <v>6</v>
      </c>
      <c r="G2130" s="19">
        <v>1</v>
      </c>
      <c r="H2130" t="s">
        <v>62</v>
      </c>
      <c r="I2130">
        <v>2023</v>
      </c>
    </row>
    <row r="2131" spans="1:9" x14ac:dyDescent="0.3">
      <c r="A2131">
        <v>216136446</v>
      </c>
      <c r="B2131" s="1">
        <v>45076</v>
      </c>
      <c r="C2131" s="1">
        <v>45105</v>
      </c>
      <c r="D2131" t="s">
        <v>7</v>
      </c>
      <c r="E2131">
        <v>39</v>
      </c>
      <c r="F2131" t="s">
        <v>6</v>
      </c>
      <c r="G2131" s="19">
        <v>29</v>
      </c>
      <c r="H2131" t="s">
        <v>62</v>
      </c>
      <c r="I2131">
        <v>2023</v>
      </c>
    </row>
    <row r="2132" spans="1:9" x14ac:dyDescent="0.3">
      <c r="A2132">
        <v>216139586</v>
      </c>
      <c r="B2132" s="1">
        <v>45076</v>
      </c>
      <c r="C2132" s="1">
        <v>45107</v>
      </c>
      <c r="D2132" t="s">
        <v>7</v>
      </c>
      <c r="E2132">
        <v>39</v>
      </c>
      <c r="F2132" t="s">
        <v>6</v>
      </c>
      <c r="G2132" s="19">
        <v>31</v>
      </c>
      <c r="H2132" t="s">
        <v>62</v>
      </c>
      <c r="I2132">
        <v>2023</v>
      </c>
    </row>
    <row r="2133" spans="1:9" x14ac:dyDescent="0.3">
      <c r="A2133">
        <v>216126416</v>
      </c>
      <c r="B2133" s="1">
        <v>45076</v>
      </c>
      <c r="C2133" s="1">
        <v>45081</v>
      </c>
      <c r="D2133" t="s">
        <v>7</v>
      </c>
      <c r="E2133">
        <v>39</v>
      </c>
      <c r="F2133" t="s">
        <v>6</v>
      </c>
      <c r="G2133" s="19">
        <v>5</v>
      </c>
      <c r="H2133" t="s">
        <v>62</v>
      </c>
      <c r="I2133">
        <v>2023</v>
      </c>
    </row>
    <row r="2134" spans="1:9" x14ac:dyDescent="0.3">
      <c r="A2134">
        <v>216181144</v>
      </c>
      <c r="B2134" s="1">
        <v>45076</v>
      </c>
      <c r="C2134" s="1">
        <v>45114</v>
      </c>
      <c r="D2134" t="s">
        <v>7</v>
      </c>
      <c r="E2134">
        <v>39</v>
      </c>
      <c r="F2134" t="s">
        <v>6</v>
      </c>
      <c r="G2134" s="19">
        <v>38</v>
      </c>
      <c r="H2134" t="s">
        <v>62</v>
      </c>
      <c r="I2134">
        <v>2023</v>
      </c>
    </row>
    <row r="2135" spans="1:9" x14ac:dyDescent="0.3">
      <c r="A2135">
        <v>216100714</v>
      </c>
      <c r="B2135" s="1">
        <v>45076</v>
      </c>
      <c r="C2135" s="1">
        <v>45140</v>
      </c>
      <c r="D2135" t="s">
        <v>7</v>
      </c>
      <c r="E2135">
        <v>39</v>
      </c>
      <c r="F2135" t="s">
        <v>6</v>
      </c>
      <c r="G2135" s="19">
        <v>64</v>
      </c>
      <c r="H2135" t="s">
        <v>62</v>
      </c>
      <c r="I2135">
        <v>2023</v>
      </c>
    </row>
    <row r="2136" spans="1:9" x14ac:dyDescent="0.3">
      <c r="A2136">
        <v>216155144</v>
      </c>
      <c r="B2136" s="1">
        <v>45076</v>
      </c>
      <c r="C2136" s="1">
        <v>45137</v>
      </c>
      <c r="D2136" t="s">
        <v>7</v>
      </c>
      <c r="E2136">
        <v>39</v>
      </c>
      <c r="F2136" t="s">
        <v>6</v>
      </c>
      <c r="G2136" s="19">
        <v>61</v>
      </c>
      <c r="H2136" t="s">
        <v>62</v>
      </c>
      <c r="I2136">
        <v>2023</v>
      </c>
    </row>
    <row r="2137" spans="1:9" x14ac:dyDescent="0.3">
      <c r="A2137">
        <v>190978347</v>
      </c>
      <c r="B2137" s="1">
        <v>45076</v>
      </c>
      <c r="C2137" s="1">
        <v>45146</v>
      </c>
      <c r="D2137" t="s">
        <v>7</v>
      </c>
      <c r="E2137">
        <v>39</v>
      </c>
      <c r="F2137" t="s">
        <v>6</v>
      </c>
      <c r="G2137" s="19">
        <v>70</v>
      </c>
      <c r="H2137" t="s">
        <v>62</v>
      </c>
      <c r="I2137">
        <v>2023</v>
      </c>
    </row>
    <row r="2138" spans="1:9" x14ac:dyDescent="0.3">
      <c r="A2138">
        <v>215653713</v>
      </c>
      <c r="B2138" s="1">
        <v>45076</v>
      </c>
      <c r="C2138" s="1">
        <v>45118</v>
      </c>
      <c r="D2138" t="s">
        <v>7</v>
      </c>
      <c r="E2138">
        <v>39</v>
      </c>
      <c r="F2138" t="s">
        <v>6</v>
      </c>
      <c r="G2138" s="19">
        <v>42</v>
      </c>
      <c r="H2138" t="s">
        <v>62</v>
      </c>
      <c r="I2138">
        <v>2023</v>
      </c>
    </row>
    <row r="2139" spans="1:9" x14ac:dyDescent="0.3">
      <c r="A2139">
        <v>215185569</v>
      </c>
      <c r="B2139" s="1">
        <v>45076</v>
      </c>
      <c r="C2139" s="1">
        <v>45167</v>
      </c>
      <c r="D2139" t="s">
        <v>7</v>
      </c>
      <c r="E2139">
        <v>39</v>
      </c>
      <c r="F2139" t="s">
        <v>6</v>
      </c>
      <c r="G2139" s="19">
        <v>91</v>
      </c>
      <c r="H2139" t="s">
        <v>62</v>
      </c>
      <c r="I2139">
        <v>2023</v>
      </c>
    </row>
    <row r="2140" spans="1:9" x14ac:dyDescent="0.3">
      <c r="A2140">
        <v>215488799</v>
      </c>
      <c r="B2140" s="1">
        <v>45077</v>
      </c>
      <c r="D2140" t="s">
        <v>7</v>
      </c>
      <c r="E2140">
        <v>39</v>
      </c>
      <c r="F2140" t="s">
        <v>6</v>
      </c>
      <c r="H2140" t="s">
        <v>63</v>
      </c>
      <c r="I2140">
        <v>2023</v>
      </c>
    </row>
    <row r="2141" spans="1:9" x14ac:dyDescent="0.3">
      <c r="A2141">
        <v>216170130</v>
      </c>
      <c r="B2141" s="1">
        <v>45077</v>
      </c>
      <c r="D2141" t="s">
        <v>7</v>
      </c>
      <c r="E2141">
        <v>39</v>
      </c>
      <c r="F2141" t="s">
        <v>6</v>
      </c>
      <c r="H2141" t="s">
        <v>63</v>
      </c>
      <c r="I2141">
        <v>2023</v>
      </c>
    </row>
    <row r="2142" spans="1:9" x14ac:dyDescent="0.3">
      <c r="A2142">
        <v>215723337</v>
      </c>
      <c r="B2142" s="1">
        <v>45077</v>
      </c>
      <c r="D2142" t="s">
        <v>7</v>
      </c>
      <c r="E2142">
        <v>39</v>
      </c>
      <c r="F2142" t="s">
        <v>6</v>
      </c>
      <c r="H2142" t="s">
        <v>63</v>
      </c>
      <c r="I2142">
        <v>2023</v>
      </c>
    </row>
    <row r="2143" spans="1:9" x14ac:dyDescent="0.3">
      <c r="A2143">
        <v>148568942</v>
      </c>
      <c r="B2143" s="1">
        <v>45077</v>
      </c>
      <c r="D2143" t="s">
        <v>7</v>
      </c>
      <c r="E2143">
        <v>39</v>
      </c>
      <c r="F2143" t="s">
        <v>6</v>
      </c>
      <c r="H2143" t="s">
        <v>63</v>
      </c>
      <c r="I2143">
        <v>2023</v>
      </c>
    </row>
    <row r="2144" spans="1:9" x14ac:dyDescent="0.3">
      <c r="A2144">
        <v>215102456</v>
      </c>
      <c r="B2144" s="1">
        <v>45077</v>
      </c>
      <c r="D2144" t="s">
        <v>7</v>
      </c>
      <c r="E2144">
        <v>39</v>
      </c>
      <c r="F2144" t="s">
        <v>6</v>
      </c>
      <c r="H2144" t="s">
        <v>63</v>
      </c>
      <c r="I2144">
        <v>2023</v>
      </c>
    </row>
    <row r="2145" spans="1:9" x14ac:dyDescent="0.3">
      <c r="A2145">
        <v>216017581</v>
      </c>
      <c r="B2145" s="1">
        <v>45077</v>
      </c>
      <c r="D2145" t="s">
        <v>7</v>
      </c>
      <c r="E2145">
        <v>39</v>
      </c>
      <c r="F2145" t="s">
        <v>6</v>
      </c>
      <c r="H2145" t="s">
        <v>63</v>
      </c>
      <c r="I2145">
        <v>2023</v>
      </c>
    </row>
    <row r="2146" spans="1:9" x14ac:dyDescent="0.3">
      <c r="A2146">
        <v>153438676</v>
      </c>
      <c r="B2146" s="1">
        <v>45077</v>
      </c>
      <c r="D2146" t="s">
        <v>7</v>
      </c>
      <c r="E2146">
        <v>39</v>
      </c>
      <c r="F2146" t="s">
        <v>6</v>
      </c>
      <c r="H2146" t="s">
        <v>63</v>
      </c>
      <c r="I2146">
        <v>2023</v>
      </c>
    </row>
    <row r="2147" spans="1:9" x14ac:dyDescent="0.3">
      <c r="A2147">
        <v>213190132</v>
      </c>
      <c r="B2147" s="1">
        <v>45077</v>
      </c>
      <c r="D2147" t="s">
        <v>7</v>
      </c>
      <c r="E2147">
        <v>39</v>
      </c>
      <c r="F2147" t="s">
        <v>6</v>
      </c>
      <c r="H2147" t="s">
        <v>63</v>
      </c>
      <c r="I2147">
        <v>2023</v>
      </c>
    </row>
    <row r="2148" spans="1:9" x14ac:dyDescent="0.3">
      <c r="A2148">
        <v>216218992</v>
      </c>
      <c r="B2148" s="1">
        <v>45077</v>
      </c>
      <c r="C2148" s="1">
        <v>45169</v>
      </c>
      <c r="D2148" t="s">
        <v>7</v>
      </c>
      <c r="E2148">
        <v>39</v>
      </c>
      <c r="F2148" t="s">
        <v>6</v>
      </c>
      <c r="G2148" s="19">
        <v>92</v>
      </c>
      <c r="H2148" t="s">
        <v>63</v>
      </c>
      <c r="I2148">
        <v>2023</v>
      </c>
    </row>
    <row r="2149" spans="1:9" x14ac:dyDescent="0.3">
      <c r="A2149">
        <v>216210442</v>
      </c>
      <c r="B2149" s="1">
        <v>45077</v>
      </c>
      <c r="C2149" s="1">
        <v>45092</v>
      </c>
      <c r="D2149" t="s">
        <v>7</v>
      </c>
      <c r="E2149">
        <v>39</v>
      </c>
      <c r="F2149" t="s">
        <v>6</v>
      </c>
      <c r="G2149" s="19">
        <v>15</v>
      </c>
      <c r="H2149" t="s">
        <v>63</v>
      </c>
      <c r="I2149">
        <v>2023</v>
      </c>
    </row>
    <row r="2150" spans="1:9" x14ac:dyDescent="0.3">
      <c r="A2150">
        <v>129447970</v>
      </c>
      <c r="B2150" s="1">
        <v>45077</v>
      </c>
      <c r="C2150" s="1">
        <v>45172</v>
      </c>
      <c r="D2150" t="s">
        <v>7</v>
      </c>
      <c r="E2150">
        <v>39</v>
      </c>
      <c r="F2150" t="s">
        <v>6</v>
      </c>
      <c r="G2150" s="19">
        <v>95</v>
      </c>
      <c r="H2150" t="s">
        <v>63</v>
      </c>
      <c r="I2150">
        <v>2023</v>
      </c>
    </row>
    <row r="2151" spans="1:9" x14ac:dyDescent="0.3">
      <c r="A2151">
        <v>216221115</v>
      </c>
      <c r="B2151" s="1">
        <v>45077</v>
      </c>
      <c r="C2151" s="1">
        <v>45109</v>
      </c>
      <c r="D2151" t="s">
        <v>7</v>
      </c>
      <c r="E2151">
        <v>39</v>
      </c>
      <c r="F2151" t="s">
        <v>6</v>
      </c>
      <c r="G2151" s="19">
        <v>32</v>
      </c>
      <c r="H2151" t="s">
        <v>63</v>
      </c>
      <c r="I2151">
        <v>2023</v>
      </c>
    </row>
    <row r="2152" spans="1:9" x14ac:dyDescent="0.3">
      <c r="A2152">
        <v>215911675</v>
      </c>
      <c r="B2152" s="1">
        <v>45077</v>
      </c>
      <c r="C2152" s="1">
        <v>45114</v>
      </c>
      <c r="D2152" t="s">
        <v>7</v>
      </c>
      <c r="E2152">
        <v>39</v>
      </c>
      <c r="F2152" t="s">
        <v>6</v>
      </c>
      <c r="G2152" s="19">
        <v>37</v>
      </c>
      <c r="H2152" t="s">
        <v>63</v>
      </c>
      <c r="I2152">
        <v>2023</v>
      </c>
    </row>
    <row r="2153" spans="1:9" x14ac:dyDescent="0.3">
      <c r="A2153">
        <v>215908254</v>
      </c>
      <c r="B2153" s="1">
        <v>45077</v>
      </c>
      <c r="C2153" s="1">
        <v>45098</v>
      </c>
      <c r="D2153" t="s">
        <v>7</v>
      </c>
      <c r="E2153">
        <v>39</v>
      </c>
      <c r="F2153" t="s">
        <v>6</v>
      </c>
      <c r="G2153" s="19">
        <v>21</v>
      </c>
      <c r="H2153" t="s">
        <v>63</v>
      </c>
      <c r="I2153">
        <v>2023</v>
      </c>
    </row>
    <row r="2154" spans="1:9" x14ac:dyDescent="0.3">
      <c r="A2154">
        <v>214610994</v>
      </c>
      <c r="B2154" s="1">
        <v>45077</v>
      </c>
      <c r="C2154" s="1">
        <v>45106</v>
      </c>
      <c r="D2154" t="s">
        <v>7</v>
      </c>
      <c r="E2154">
        <v>39</v>
      </c>
      <c r="F2154" t="s">
        <v>6</v>
      </c>
      <c r="G2154" s="19">
        <v>29</v>
      </c>
      <c r="H2154" t="s">
        <v>63</v>
      </c>
      <c r="I2154">
        <v>2023</v>
      </c>
    </row>
    <row r="2155" spans="1:9" x14ac:dyDescent="0.3">
      <c r="A2155">
        <v>143272167</v>
      </c>
      <c r="B2155" s="1">
        <v>45077</v>
      </c>
      <c r="C2155" s="1">
        <v>45176</v>
      </c>
      <c r="D2155" t="s">
        <v>7</v>
      </c>
      <c r="E2155">
        <v>39</v>
      </c>
      <c r="F2155" t="s">
        <v>6</v>
      </c>
      <c r="G2155" s="19">
        <v>99</v>
      </c>
      <c r="H2155" t="s">
        <v>63</v>
      </c>
      <c r="I2155">
        <v>2023</v>
      </c>
    </row>
    <row r="2156" spans="1:9" x14ac:dyDescent="0.3">
      <c r="A2156">
        <v>216340651</v>
      </c>
      <c r="B2156" s="1">
        <v>45078</v>
      </c>
      <c r="D2156" t="s">
        <v>7</v>
      </c>
      <c r="E2156">
        <v>39</v>
      </c>
      <c r="F2156" t="s">
        <v>6</v>
      </c>
      <c r="H2156" t="s">
        <v>64</v>
      </c>
      <c r="I2156">
        <v>2023</v>
      </c>
    </row>
    <row r="2157" spans="1:9" x14ac:dyDescent="0.3">
      <c r="A2157">
        <v>153573832</v>
      </c>
      <c r="B2157" s="1">
        <v>45078</v>
      </c>
      <c r="D2157" t="s">
        <v>7</v>
      </c>
      <c r="E2157">
        <v>39</v>
      </c>
      <c r="F2157" t="s">
        <v>6</v>
      </c>
      <c r="H2157" t="s">
        <v>64</v>
      </c>
      <c r="I2157">
        <v>2023</v>
      </c>
    </row>
    <row r="2158" spans="1:9" x14ac:dyDescent="0.3">
      <c r="A2158">
        <v>138312982</v>
      </c>
      <c r="B2158" s="1">
        <v>45078</v>
      </c>
      <c r="D2158" t="s">
        <v>7</v>
      </c>
      <c r="E2158">
        <v>39</v>
      </c>
      <c r="F2158" t="s">
        <v>6</v>
      </c>
      <c r="H2158" t="s">
        <v>64</v>
      </c>
      <c r="I2158">
        <v>2023</v>
      </c>
    </row>
    <row r="2159" spans="1:9" x14ac:dyDescent="0.3">
      <c r="A2159">
        <v>216365777</v>
      </c>
      <c r="B2159" s="1">
        <v>45078</v>
      </c>
      <c r="D2159" t="s">
        <v>7</v>
      </c>
      <c r="E2159">
        <v>39</v>
      </c>
      <c r="F2159" t="s">
        <v>6</v>
      </c>
      <c r="H2159" t="s">
        <v>64</v>
      </c>
      <c r="I2159">
        <v>2023</v>
      </c>
    </row>
    <row r="2160" spans="1:9" x14ac:dyDescent="0.3">
      <c r="A2160">
        <v>216272792</v>
      </c>
      <c r="B2160" s="1">
        <v>45078</v>
      </c>
      <c r="C2160" s="1">
        <v>45175</v>
      </c>
      <c r="D2160" t="s">
        <v>7</v>
      </c>
      <c r="E2160">
        <v>39</v>
      </c>
      <c r="F2160" t="s">
        <v>6</v>
      </c>
      <c r="G2160" s="19">
        <v>97</v>
      </c>
      <c r="H2160" t="s">
        <v>64</v>
      </c>
      <c r="I2160">
        <v>2023</v>
      </c>
    </row>
    <row r="2161" spans="1:9" x14ac:dyDescent="0.3">
      <c r="A2161">
        <v>167174814</v>
      </c>
      <c r="B2161" s="1">
        <v>45078</v>
      </c>
      <c r="C2161" s="1">
        <v>45088</v>
      </c>
      <c r="D2161" t="s">
        <v>7</v>
      </c>
      <c r="E2161">
        <v>39</v>
      </c>
      <c r="F2161" t="s">
        <v>6</v>
      </c>
      <c r="G2161" s="19">
        <v>10</v>
      </c>
      <c r="H2161" t="s">
        <v>64</v>
      </c>
      <c r="I2161">
        <v>2023</v>
      </c>
    </row>
    <row r="2162" spans="1:9" x14ac:dyDescent="0.3">
      <c r="A2162">
        <v>216329176</v>
      </c>
      <c r="B2162" s="1">
        <v>45078</v>
      </c>
      <c r="C2162" s="1">
        <v>45115</v>
      </c>
      <c r="D2162" t="s">
        <v>7</v>
      </c>
      <c r="E2162">
        <v>39</v>
      </c>
      <c r="F2162" t="s">
        <v>6</v>
      </c>
      <c r="G2162" s="19">
        <v>37</v>
      </c>
      <c r="H2162" t="s">
        <v>64</v>
      </c>
      <c r="I2162">
        <v>2023</v>
      </c>
    </row>
    <row r="2163" spans="1:9" x14ac:dyDescent="0.3">
      <c r="A2163">
        <v>147320092</v>
      </c>
      <c r="B2163" s="1">
        <v>45078</v>
      </c>
      <c r="C2163" s="1">
        <v>45111</v>
      </c>
      <c r="D2163" t="s">
        <v>7</v>
      </c>
      <c r="E2163">
        <v>39</v>
      </c>
      <c r="F2163" t="s">
        <v>6</v>
      </c>
      <c r="G2163" s="19">
        <v>33</v>
      </c>
      <c r="H2163" t="s">
        <v>64</v>
      </c>
      <c r="I2163">
        <v>2023</v>
      </c>
    </row>
    <row r="2164" spans="1:9" x14ac:dyDescent="0.3">
      <c r="A2164">
        <v>157974600</v>
      </c>
      <c r="B2164" s="1">
        <v>45078</v>
      </c>
      <c r="C2164" s="1">
        <v>45091</v>
      </c>
      <c r="D2164" t="s">
        <v>7</v>
      </c>
      <c r="E2164">
        <v>39</v>
      </c>
      <c r="F2164" t="s">
        <v>6</v>
      </c>
      <c r="G2164" s="19">
        <v>13</v>
      </c>
      <c r="H2164" t="s">
        <v>64</v>
      </c>
      <c r="I2164">
        <v>2023</v>
      </c>
    </row>
    <row r="2165" spans="1:9" x14ac:dyDescent="0.3">
      <c r="A2165">
        <v>200955808</v>
      </c>
      <c r="B2165" s="1">
        <v>45078</v>
      </c>
      <c r="C2165" s="1">
        <v>45108</v>
      </c>
      <c r="D2165" t="s">
        <v>7</v>
      </c>
      <c r="E2165">
        <v>39</v>
      </c>
      <c r="F2165" t="s">
        <v>6</v>
      </c>
      <c r="G2165" s="19">
        <v>30</v>
      </c>
      <c r="H2165" t="s">
        <v>64</v>
      </c>
      <c r="I2165">
        <v>2023</v>
      </c>
    </row>
    <row r="2166" spans="1:9" x14ac:dyDescent="0.3">
      <c r="A2166">
        <v>216332850</v>
      </c>
      <c r="B2166" s="1">
        <v>45078</v>
      </c>
      <c r="C2166" s="1">
        <v>45139</v>
      </c>
      <c r="D2166" t="s">
        <v>7</v>
      </c>
      <c r="E2166">
        <v>39</v>
      </c>
      <c r="F2166" t="s">
        <v>6</v>
      </c>
      <c r="G2166" s="19">
        <v>61</v>
      </c>
      <c r="H2166" t="s">
        <v>64</v>
      </c>
      <c r="I2166">
        <v>2023</v>
      </c>
    </row>
    <row r="2167" spans="1:9" x14ac:dyDescent="0.3">
      <c r="A2167">
        <v>149986818</v>
      </c>
      <c r="B2167" s="1">
        <v>45079</v>
      </c>
      <c r="D2167" t="s">
        <v>7</v>
      </c>
      <c r="E2167">
        <v>39</v>
      </c>
      <c r="F2167" t="s">
        <v>6</v>
      </c>
      <c r="H2167" t="s">
        <v>65</v>
      </c>
      <c r="I2167">
        <v>2023</v>
      </c>
    </row>
    <row r="2168" spans="1:9" x14ac:dyDescent="0.3">
      <c r="A2168">
        <v>132579012</v>
      </c>
      <c r="B2168" s="1">
        <v>45079</v>
      </c>
      <c r="D2168" t="s">
        <v>7</v>
      </c>
      <c r="E2168">
        <v>39</v>
      </c>
      <c r="F2168" t="s">
        <v>6</v>
      </c>
      <c r="H2168" t="s">
        <v>65</v>
      </c>
      <c r="I2168">
        <v>2023</v>
      </c>
    </row>
    <row r="2169" spans="1:9" x14ac:dyDescent="0.3">
      <c r="A2169">
        <v>155529346</v>
      </c>
      <c r="B2169" s="1">
        <v>45079</v>
      </c>
      <c r="C2169" s="1">
        <v>45173</v>
      </c>
      <c r="D2169" t="s">
        <v>7</v>
      </c>
      <c r="E2169">
        <v>39</v>
      </c>
      <c r="F2169" t="s">
        <v>6</v>
      </c>
      <c r="G2169" s="19">
        <v>94</v>
      </c>
      <c r="H2169" t="s">
        <v>65</v>
      </c>
      <c r="I2169">
        <v>2023</v>
      </c>
    </row>
    <row r="2170" spans="1:9" x14ac:dyDescent="0.3">
      <c r="A2170">
        <v>153085868</v>
      </c>
      <c r="B2170" s="1">
        <v>45079</v>
      </c>
      <c r="C2170" s="1">
        <v>45106</v>
      </c>
      <c r="D2170" t="s">
        <v>7</v>
      </c>
      <c r="E2170">
        <v>39</v>
      </c>
      <c r="F2170" t="s">
        <v>6</v>
      </c>
      <c r="G2170" s="19">
        <v>27</v>
      </c>
      <c r="H2170" t="s">
        <v>65</v>
      </c>
      <c r="I2170">
        <v>2023</v>
      </c>
    </row>
    <row r="2171" spans="1:9" x14ac:dyDescent="0.3">
      <c r="A2171">
        <v>156702204</v>
      </c>
      <c r="B2171" s="1">
        <v>45079</v>
      </c>
      <c r="C2171" s="1">
        <v>45109</v>
      </c>
      <c r="D2171" t="s">
        <v>7</v>
      </c>
      <c r="E2171">
        <v>39</v>
      </c>
      <c r="F2171" t="s">
        <v>6</v>
      </c>
      <c r="G2171" s="19">
        <v>30</v>
      </c>
      <c r="H2171" t="s">
        <v>65</v>
      </c>
      <c r="I2171">
        <v>2023</v>
      </c>
    </row>
    <row r="2172" spans="1:9" x14ac:dyDescent="0.3">
      <c r="A2172">
        <v>158177676</v>
      </c>
      <c r="B2172" s="1">
        <v>45079</v>
      </c>
      <c r="C2172" s="1">
        <v>45104</v>
      </c>
      <c r="D2172" t="s">
        <v>7</v>
      </c>
      <c r="E2172">
        <v>39</v>
      </c>
      <c r="F2172" t="s">
        <v>6</v>
      </c>
      <c r="G2172" s="19">
        <v>25</v>
      </c>
      <c r="H2172" t="s">
        <v>65</v>
      </c>
      <c r="I2172">
        <v>2023</v>
      </c>
    </row>
    <row r="2173" spans="1:9" x14ac:dyDescent="0.3">
      <c r="A2173">
        <v>216423972</v>
      </c>
      <c r="B2173" s="1">
        <v>45079</v>
      </c>
      <c r="C2173" s="1">
        <v>45121</v>
      </c>
      <c r="D2173" t="s">
        <v>7</v>
      </c>
      <c r="E2173">
        <v>39</v>
      </c>
      <c r="F2173" t="s">
        <v>6</v>
      </c>
      <c r="G2173" s="19">
        <v>42</v>
      </c>
      <c r="H2173" t="s">
        <v>65</v>
      </c>
      <c r="I2173">
        <v>2023</v>
      </c>
    </row>
    <row r="2174" spans="1:9" x14ac:dyDescent="0.3">
      <c r="A2174">
        <v>216533259</v>
      </c>
      <c r="B2174" s="1">
        <v>45080</v>
      </c>
      <c r="D2174" t="s">
        <v>7</v>
      </c>
      <c r="E2174">
        <v>39</v>
      </c>
      <c r="F2174" t="s">
        <v>6</v>
      </c>
      <c r="H2174" t="s">
        <v>66</v>
      </c>
      <c r="I2174">
        <v>2023</v>
      </c>
    </row>
    <row r="2175" spans="1:9" x14ac:dyDescent="0.3">
      <c r="A2175">
        <v>204953211</v>
      </c>
      <c r="B2175" s="1">
        <v>45080</v>
      </c>
      <c r="D2175" t="s">
        <v>7</v>
      </c>
      <c r="E2175">
        <v>39</v>
      </c>
      <c r="F2175" t="s">
        <v>6</v>
      </c>
      <c r="H2175" t="s">
        <v>66</v>
      </c>
      <c r="I2175">
        <v>2023</v>
      </c>
    </row>
    <row r="2176" spans="1:9" x14ac:dyDescent="0.3">
      <c r="A2176">
        <v>149112756</v>
      </c>
      <c r="B2176" s="1">
        <v>45080</v>
      </c>
      <c r="D2176" t="s">
        <v>7</v>
      </c>
      <c r="E2176">
        <v>39</v>
      </c>
      <c r="F2176" t="s">
        <v>6</v>
      </c>
      <c r="H2176" t="s">
        <v>66</v>
      </c>
      <c r="I2176">
        <v>2023</v>
      </c>
    </row>
    <row r="2177" spans="1:9" x14ac:dyDescent="0.3">
      <c r="A2177">
        <v>216674420</v>
      </c>
      <c r="B2177" s="1">
        <v>45080</v>
      </c>
      <c r="C2177" s="1">
        <v>45081</v>
      </c>
      <c r="D2177" t="s">
        <v>8</v>
      </c>
      <c r="E2177">
        <v>39</v>
      </c>
      <c r="F2177" t="s">
        <v>6</v>
      </c>
      <c r="G2177" s="19">
        <v>1</v>
      </c>
      <c r="H2177" t="s">
        <v>66</v>
      </c>
      <c r="I2177">
        <v>2023</v>
      </c>
    </row>
    <row r="2178" spans="1:9" x14ac:dyDescent="0.3">
      <c r="A2178">
        <v>148225450</v>
      </c>
      <c r="B2178" s="1">
        <v>45080</v>
      </c>
      <c r="C2178" s="1">
        <v>45106</v>
      </c>
      <c r="D2178" t="s">
        <v>7</v>
      </c>
      <c r="E2178">
        <v>39</v>
      </c>
      <c r="F2178" t="s">
        <v>6</v>
      </c>
      <c r="G2178" s="19">
        <v>26</v>
      </c>
      <c r="H2178" t="s">
        <v>66</v>
      </c>
      <c r="I2178">
        <v>2023</v>
      </c>
    </row>
    <row r="2179" spans="1:9" x14ac:dyDescent="0.3">
      <c r="A2179">
        <v>216720172</v>
      </c>
      <c r="B2179" s="1">
        <v>45080</v>
      </c>
      <c r="C2179" s="1">
        <v>45097</v>
      </c>
      <c r="D2179" t="s">
        <v>7</v>
      </c>
      <c r="E2179">
        <v>39</v>
      </c>
      <c r="F2179" t="s">
        <v>6</v>
      </c>
      <c r="G2179" s="19">
        <v>17</v>
      </c>
      <c r="H2179" t="s">
        <v>66</v>
      </c>
      <c r="I2179">
        <v>2023</v>
      </c>
    </row>
    <row r="2180" spans="1:9" x14ac:dyDescent="0.3">
      <c r="A2180">
        <v>204750804</v>
      </c>
      <c r="B2180" s="1">
        <v>45080</v>
      </c>
      <c r="C2180" s="1">
        <v>45104</v>
      </c>
      <c r="D2180" t="s">
        <v>7</v>
      </c>
      <c r="E2180">
        <v>39</v>
      </c>
      <c r="F2180" t="s">
        <v>6</v>
      </c>
      <c r="G2180" s="19">
        <v>24</v>
      </c>
      <c r="H2180" t="s">
        <v>66</v>
      </c>
      <c r="I2180">
        <v>2023</v>
      </c>
    </row>
    <row r="2181" spans="1:9" x14ac:dyDescent="0.3">
      <c r="A2181">
        <v>147798395</v>
      </c>
      <c r="B2181" s="1">
        <v>45081</v>
      </c>
      <c r="D2181" t="s">
        <v>7</v>
      </c>
      <c r="E2181">
        <v>39</v>
      </c>
      <c r="F2181" t="s">
        <v>6</v>
      </c>
      <c r="H2181" t="s">
        <v>60</v>
      </c>
      <c r="I2181">
        <v>2023</v>
      </c>
    </row>
    <row r="2182" spans="1:9" x14ac:dyDescent="0.3">
      <c r="A2182">
        <v>216560949</v>
      </c>
      <c r="B2182" s="1">
        <v>45081</v>
      </c>
      <c r="C2182" s="1">
        <v>45112</v>
      </c>
      <c r="D2182" t="s">
        <v>7</v>
      </c>
      <c r="E2182">
        <v>39</v>
      </c>
      <c r="F2182" t="s">
        <v>6</v>
      </c>
      <c r="G2182" s="19">
        <v>31</v>
      </c>
      <c r="H2182" t="s">
        <v>60</v>
      </c>
      <c r="I2182">
        <v>2023</v>
      </c>
    </row>
    <row r="2183" spans="1:9" x14ac:dyDescent="0.3">
      <c r="A2183">
        <v>216743053</v>
      </c>
      <c r="B2183" s="1">
        <v>45081</v>
      </c>
      <c r="C2183" s="1">
        <v>45121</v>
      </c>
      <c r="D2183" t="s">
        <v>7</v>
      </c>
      <c r="E2183">
        <v>39</v>
      </c>
      <c r="F2183" t="s">
        <v>6</v>
      </c>
      <c r="G2183" s="19">
        <v>40</v>
      </c>
      <c r="H2183" t="s">
        <v>60</v>
      </c>
      <c r="I2183">
        <v>2023</v>
      </c>
    </row>
    <row r="2184" spans="1:9" x14ac:dyDescent="0.3">
      <c r="A2184">
        <v>149040748</v>
      </c>
      <c r="B2184" s="1">
        <v>45082</v>
      </c>
      <c r="D2184" t="s">
        <v>7</v>
      </c>
      <c r="E2184">
        <v>39</v>
      </c>
      <c r="F2184" t="s">
        <v>6</v>
      </c>
      <c r="H2184" t="s">
        <v>61</v>
      </c>
      <c r="I2184">
        <v>2023</v>
      </c>
    </row>
    <row r="2185" spans="1:9" x14ac:dyDescent="0.3">
      <c r="A2185">
        <v>206939746</v>
      </c>
      <c r="B2185" s="1">
        <v>45082</v>
      </c>
      <c r="D2185" t="s">
        <v>7</v>
      </c>
      <c r="E2185">
        <v>39</v>
      </c>
      <c r="F2185" t="s">
        <v>6</v>
      </c>
      <c r="H2185" t="s">
        <v>61</v>
      </c>
      <c r="I2185">
        <v>2023</v>
      </c>
    </row>
    <row r="2186" spans="1:9" x14ac:dyDescent="0.3">
      <c r="A2186">
        <v>216845223</v>
      </c>
      <c r="B2186" s="1">
        <v>45082</v>
      </c>
      <c r="D2186" t="s">
        <v>7</v>
      </c>
      <c r="E2186">
        <v>39</v>
      </c>
      <c r="F2186" t="s">
        <v>6</v>
      </c>
      <c r="H2186" t="s">
        <v>61</v>
      </c>
      <c r="I2186">
        <v>2023</v>
      </c>
    </row>
    <row r="2187" spans="1:9" x14ac:dyDescent="0.3">
      <c r="A2187">
        <v>124876382</v>
      </c>
      <c r="B2187" s="1">
        <v>45082</v>
      </c>
      <c r="C2187" s="1">
        <v>45150</v>
      </c>
      <c r="D2187" t="s">
        <v>7</v>
      </c>
      <c r="E2187">
        <v>39</v>
      </c>
      <c r="F2187" t="s">
        <v>6</v>
      </c>
      <c r="G2187" s="19">
        <v>68</v>
      </c>
      <c r="H2187" t="s">
        <v>61</v>
      </c>
      <c r="I2187">
        <v>2023</v>
      </c>
    </row>
    <row r="2188" spans="1:9" x14ac:dyDescent="0.3">
      <c r="A2188">
        <v>168485609</v>
      </c>
      <c r="B2188" s="1">
        <v>45082</v>
      </c>
      <c r="C2188" s="1">
        <v>45158</v>
      </c>
      <c r="D2188" t="s">
        <v>7</v>
      </c>
      <c r="E2188">
        <v>39</v>
      </c>
      <c r="F2188" t="s">
        <v>6</v>
      </c>
      <c r="G2188" s="19">
        <v>76</v>
      </c>
      <c r="H2188" t="s">
        <v>61</v>
      </c>
      <c r="I2188">
        <v>2023</v>
      </c>
    </row>
    <row r="2189" spans="1:9" x14ac:dyDescent="0.3">
      <c r="A2189">
        <v>216888206</v>
      </c>
      <c r="B2189" s="1">
        <v>45082</v>
      </c>
      <c r="C2189" s="1">
        <v>45172</v>
      </c>
      <c r="D2189" t="s">
        <v>7</v>
      </c>
      <c r="E2189">
        <v>39</v>
      </c>
      <c r="F2189" t="s">
        <v>6</v>
      </c>
      <c r="G2189" s="19">
        <v>90</v>
      </c>
      <c r="H2189" t="s">
        <v>61</v>
      </c>
      <c r="I2189">
        <v>2023</v>
      </c>
    </row>
    <row r="2190" spans="1:9" x14ac:dyDescent="0.3">
      <c r="A2190">
        <v>216957502</v>
      </c>
      <c r="B2190" s="1">
        <v>45083</v>
      </c>
      <c r="D2190" t="s">
        <v>7</v>
      </c>
      <c r="E2190">
        <v>39</v>
      </c>
      <c r="F2190" t="s">
        <v>6</v>
      </c>
      <c r="H2190" t="s">
        <v>62</v>
      </c>
      <c r="I2190">
        <v>2023</v>
      </c>
    </row>
    <row r="2191" spans="1:9" x14ac:dyDescent="0.3">
      <c r="A2191">
        <v>215840282</v>
      </c>
      <c r="B2191" s="1">
        <v>45083</v>
      </c>
      <c r="D2191" t="s">
        <v>7</v>
      </c>
      <c r="E2191">
        <v>39</v>
      </c>
      <c r="F2191" t="s">
        <v>6</v>
      </c>
      <c r="H2191" t="s">
        <v>62</v>
      </c>
      <c r="I2191">
        <v>2023</v>
      </c>
    </row>
    <row r="2192" spans="1:9" x14ac:dyDescent="0.3">
      <c r="A2192">
        <v>216311456</v>
      </c>
      <c r="B2192" s="1">
        <v>45083</v>
      </c>
      <c r="D2192" t="s">
        <v>7</v>
      </c>
      <c r="E2192">
        <v>39</v>
      </c>
      <c r="F2192" t="s">
        <v>6</v>
      </c>
      <c r="H2192" t="s">
        <v>62</v>
      </c>
      <c r="I2192">
        <v>2023</v>
      </c>
    </row>
    <row r="2193" spans="1:9" x14ac:dyDescent="0.3">
      <c r="A2193">
        <v>155088727</v>
      </c>
      <c r="B2193" s="1">
        <v>45083</v>
      </c>
      <c r="D2193" t="s">
        <v>7</v>
      </c>
      <c r="E2193">
        <v>39</v>
      </c>
      <c r="F2193" t="s">
        <v>6</v>
      </c>
      <c r="H2193" t="s">
        <v>62</v>
      </c>
      <c r="I2193">
        <v>2023</v>
      </c>
    </row>
    <row r="2194" spans="1:9" x14ac:dyDescent="0.3">
      <c r="A2194">
        <v>216925191</v>
      </c>
      <c r="B2194" s="1">
        <v>45083</v>
      </c>
      <c r="C2194" s="1">
        <v>45090</v>
      </c>
      <c r="D2194" t="s">
        <v>7</v>
      </c>
      <c r="E2194">
        <v>39</v>
      </c>
      <c r="F2194" t="s">
        <v>6</v>
      </c>
      <c r="G2194" s="19">
        <v>7</v>
      </c>
      <c r="H2194" t="s">
        <v>62</v>
      </c>
      <c r="I2194">
        <v>2023</v>
      </c>
    </row>
    <row r="2195" spans="1:9" x14ac:dyDescent="0.3">
      <c r="A2195">
        <v>216924741</v>
      </c>
      <c r="B2195" s="1">
        <v>45083</v>
      </c>
      <c r="C2195" s="1">
        <v>45160</v>
      </c>
      <c r="D2195" t="s">
        <v>7</v>
      </c>
      <c r="E2195">
        <v>39</v>
      </c>
      <c r="F2195" t="s">
        <v>6</v>
      </c>
      <c r="G2195" s="19">
        <v>77</v>
      </c>
      <c r="H2195" t="s">
        <v>62</v>
      </c>
      <c r="I2195">
        <v>2023</v>
      </c>
    </row>
    <row r="2196" spans="1:9" x14ac:dyDescent="0.3">
      <c r="A2196">
        <v>194347007</v>
      </c>
      <c r="B2196" s="1">
        <v>45083</v>
      </c>
      <c r="C2196" s="1">
        <v>45120</v>
      </c>
      <c r="D2196" t="s">
        <v>7</v>
      </c>
      <c r="E2196">
        <v>39</v>
      </c>
      <c r="F2196" t="s">
        <v>6</v>
      </c>
      <c r="G2196" s="19">
        <v>37</v>
      </c>
      <c r="H2196" t="s">
        <v>62</v>
      </c>
      <c r="I2196">
        <v>2023</v>
      </c>
    </row>
    <row r="2197" spans="1:9" x14ac:dyDescent="0.3">
      <c r="A2197">
        <v>217067696</v>
      </c>
      <c r="B2197" s="1">
        <v>45084</v>
      </c>
      <c r="D2197" t="s">
        <v>7</v>
      </c>
      <c r="E2197">
        <v>39</v>
      </c>
      <c r="F2197" t="s">
        <v>6</v>
      </c>
      <c r="H2197" t="s">
        <v>63</v>
      </c>
      <c r="I2197">
        <v>2023</v>
      </c>
    </row>
    <row r="2198" spans="1:9" x14ac:dyDescent="0.3">
      <c r="A2198">
        <v>217012406</v>
      </c>
      <c r="B2198" s="1">
        <v>45084</v>
      </c>
      <c r="D2198" t="s">
        <v>7</v>
      </c>
      <c r="E2198">
        <v>39</v>
      </c>
      <c r="F2198" t="s">
        <v>6</v>
      </c>
      <c r="H2198" t="s">
        <v>63</v>
      </c>
      <c r="I2198">
        <v>2023</v>
      </c>
    </row>
    <row r="2199" spans="1:9" x14ac:dyDescent="0.3">
      <c r="A2199">
        <v>216345770</v>
      </c>
      <c r="B2199" s="1">
        <v>45084</v>
      </c>
      <c r="D2199" t="s">
        <v>7</v>
      </c>
      <c r="E2199">
        <v>39</v>
      </c>
      <c r="F2199" t="s">
        <v>6</v>
      </c>
      <c r="H2199" t="s">
        <v>63</v>
      </c>
      <c r="I2199">
        <v>2023</v>
      </c>
    </row>
    <row r="2200" spans="1:9" x14ac:dyDescent="0.3">
      <c r="A2200">
        <v>215654770</v>
      </c>
      <c r="B2200" s="1">
        <v>45084</v>
      </c>
      <c r="D2200" t="s">
        <v>7</v>
      </c>
      <c r="E2200">
        <v>39</v>
      </c>
      <c r="F2200" t="s">
        <v>6</v>
      </c>
      <c r="H2200" t="s">
        <v>63</v>
      </c>
      <c r="I2200">
        <v>2023</v>
      </c>
    </row>
    <row r="2201" spans="1:9" x14ac:dyDescent="0.3">
      <c r="A2201">
        <v>217044528</v>
      </c>
      <c r="B2201" s="1">
        <v>45084</v>
      </c>
      <c r="D2201" t="s">
        <v>7</v>
      </c>
      <c r="E2201">
        <v>39</v>
      </c>
      <c r="F2201" t="s">
        <v>6</v>
      </c>
      <c r="H2201" t="s">
        <v>63</v>
      </c>
      <c r="I2201">
        <v>2023</v>
      </c>
    </row>
    <row r="2202" spans="1:9" x14ac:dyDescent="0.3">
      <c r="A2202">
        <v>217031352</v>
      </c>
      <c r="B2202" s="1">
        <v>45084</v>
      </c>
      <c r="D2202" t="s">
        <v>7</v>
      </c>
      <c r="E2202">
        <v>39</v>
      </c>
      <c r="F2202" t="s">
        <v>6</v>
      </c>
      <c r="H2202" t="s">
        <v>63</v>
      </c>
      <c r="I2202">
        <v>2023</v>
      </c>
    </row>
    <row r="2203" spans="1:9" x14ac:dyDescent="0.3">
      <c r="A2203">
        <v>146450388</v>
      </c>
      <c r="B2203" s="1">
        <v>45084</v>
      </c>
      <c r="D2203" t="s">
        <v>7</v>
      </c>
      <c r="E2203">
        <v>39</v>
      </c>
      <c r="F2203" t="s">
        <v>6</v>
      </c>
      <c r="H2203" t="s">
        <v>63</v>
      </c>
      <c r="I2203">
        <v>2023</v>
      </c>
    </row>
    <row r="2204" spans="1:9" x14ac:dyDescent="0.3">
      <c r="A2204">
        <v>153374748</v>
      </c>
      <c r="B2204" s="1">
        <v>45084</v>
      </c>
      <c r="C2204" s="1">
        <v>45169</v>
      </c>
      <c r="D2204" t="s">
        <v>7</v>
      </c>
      <c r="E2204">
        <v>39</v>
      </c>
      <c r="F2204" t="s">
        <v>6</v>
      </c>
      <c r="G2204" s="19">
        <v>85</v>
      </c>
      <c r="H2204" t="s">
        <v>63</v>
      </c>
      <c r="I2204">
        <v>2023</v>
      </c>
    </row>
    <row r="2205" spans="1:9" x14ac:dyDescent="0.3">
      <c r="A2205">
        <v>217065874</v>
      </c>
      <c r="B2205" s="1">
        <v>45084</v>
      </c>
      <c r="C2205" s="1">
        <v>45106</v>
      </c>
      <c r="D2205" t="s">
        <v>7</v>
      </c>
      <c r="E2205">
        <v>39</v>
      </c>
      <c r="F2205" t="s">
        <v>6</v>
      </c>
      <c r="G2205" s="19">
        <v>22</v>
      </c>
      <c r="H2205" t="s">
        <v>63</v>
      </c>
      <c r="I2205">
        <v>2023</v>
      </c>
    </row>
    <row r="2206" spans="1:9" x14ac:dyDescent="0.3">
      <c r="A2206">
        <v>216622895</v>
      </c>
      <c r="B2206" s="1">
        <v>45084</v>
      </c>
      <c r="C2206" s="1">
        <v>45152</v>
      </c>
      <c r="D2206" t="s">
        <v>7</v>
      </c>
      <c r="E2206">
        <v>39</v>
      </c>
      <c r="F2206" t="s">
        <v>6</v>
      </c>
      <c r="G2206" s="19">
        <v>68</v>
      </c>
      <c r="H2206" t="s">
        <v>63</v>
      </c>
      <c r="I2206">
        <v>2023</v>
      </c>
    </row>
    <row r="2207" spans="1:9" x14ac:dyDescent="0.3">
      <c r="A2207">
        <v>216907852</v>
      </c>
      <c r="B2207" s="1">
        <v>45084</v>
      </c>
      <c r="C2207" s="1">
        <v>45116</v>
      </c>
      <c r="D2207" t="s">
        <v>7</v>
      </c>
      <c r="E2207">
        <v>39</v>
      </c>
      <c r="F2207" t="s">
        <v>6</v>
      </c>
      <c r="G2207" s="19">
        <v>32</v>
      </c>
      <c r="H2207" t="s">
        <v>63</v>
      </c>
      <c r="I2207">
        <v>2023</v>
      </c>
    </row>
    <row r="2208" spans="1:9" x14ac:dyDescent="0.3">
      <c r="A2208">
        <v>217054126</v>
      </c>
      <c r="B2208" s="1">
        <v>45085</v>
      </c>
      <c r="D2208" t="s">
        <v>7</v>
      </c>
      <c r="E2208">
        <v>39</v>
      </c>
      <c r="F2208" t="s">
        <v>6</v>
      </c>
      <c r="H2208" t="s">
        <v>64</v>
      </c>
      <c r="I2208">
        <v>2023</v>
      </c>
    </row>
    <row r="2209" spans="1:9" x14ac:dyDescent="0.3">
      <c r="A2209">
        <v>206001231</v>
      </c>
      <c r="B2209" s="1">
        <v>45085</v>
      </c>
      <c r="D2209" t="s">
        <v>7</v>
      </c>
      <c r="E2209">
        <v>39</v>
      </c>
      <c r="F2209" t="s">
        <v>6</v>
      </c>
      <c r="H2209" t="s">
        <v>64</v>
      </c>
      <c r="I2209">
        <v>2023</v>
      </c>
    </row>
    <row r="2210" spans="1:9" x14ac:dyDescent="0.3">
      <c r="A2210">
        <v>216925136</v>
      </c>
      <c r="B2210" s="1">
        <v>45085</v>
      </c>
      <c r="D2210" t="s">
        <v>7</v>
      </c>
      <c r="E2210">
        <v>39</v>
      </c>
      <c r="F2210" t="s">
        <v>6</v>
      </c>
      <c r="H2210" t="s">
        <v>64</v>
      </c>
      <c r="I2210">
        <v>2023</v>
      </c>
    </row>
    <row r="2211" spans="1:9" x14ac:dyDescent="0.3">
      <c r="A2211">
        <v>217094352</v>
      </c>
      <c r="B2211" s="1">
        <v>45085</v>
      </c>
      <c r="C2211" s="1">
        <v>45109</v>
      </c>
      <c r="D2211" t="s">
        <v>7</v>
      </c>
      <c r="E2211">
        <v>39</v>
      </c>
      <c r="F2211" t="s">
        <v>6</v>
      </c>
      <c r="G2211" s="19">
        <v>24</v>
      </c>
      <c r="H2211" t="s">
        <v>64</v>
      </c>
      <c r="I2211">
        <v>2023</v>
      </c>
    </row>
    <row r="2212" spans="1:9" x14ac:dyDescent="0.3">
      <c r="A2212">
        <v>206891818</v>
      </c>
      <c r="B2212" s="1">
        <v>45085</v>
      </c>
      <c r="C2212" s="1">
        <v>45105</v>
      </c>
      <c r="D2212" t="s">
        <v>7</v>
      </c>
      <c r="E2212">
        <v>39</v>
      </c>
      <c r="F2212" t="s">
        <v>6</v>
      </c>
      <c r="G2212" s="19">
        <v>20</v>
      </c>
      <c r="H2212" t="s">
        <v>64</v>
      </c>
      <c r="I2212">
        <v>2023</v>
      </c>
    </row>
    <row r="2213" spans="1:9" x14ac:dyDescent="0.3">
      <c r="A2213">
        <v>217084888</v>
      </c>
      <c r="B2213" s="1">
        <v>45085</v>
      </c>
      <c r="C2213" s="1">
        <v>45085</v>
      </c>
      <c r="D2213" t="s">
        <v>7</v>
      </c>
      <c r="E2213">
        <v>39</v>
      </c>
      <c r="F2213" t="s">
        <v>6</v>
      </c>
      <c r="G2213" s="19">
        <v>0</v>
      </c>
      <c r="H2213" t="s">
        <v>64</v>
      </c>
      <c r="I2213">
        <v>2023</v>
      </c>
    </row>
    <row r="2214" spans="1:9" x14ac:dyDescent="0.3">
      <c r="A2214">
        <v>216624401</v>
      </c>
      <c r="B2214" s="1">
        <v>45085</v>
      </c>
      <c r="C2214" s="1">
        <v>45105</v>
      </c>
      <c r="D2214" t="s">
        <v>7</v>
      </c>
      <c r="E2214">
        <v>39</v>
      </c>
      <c r="F2214" t="s">
        <v>6</v>
      </c>
      <c r="G2214" s="19">
        <v>20</v>
      </c>
      <c r="H2214" t="s">
        <v>64</v>
      </c>
      <c r="I2214">
        <v>2023</v>
      </c>
    </row>
    <row r="2215" spans="1:9" x14ac:dyDescent="0.3">
      <c r="A2215">
        <v>216795282</v>
      </c>
      <c r="B2215" s="1">
        <v>45085</v>
      </c>
      <c r="C2215" s="1">
        <v>45130</v>
      </c>
      <c r="D2215" t="s">
        <v>7</v>
      </c>
      <c r="E2215">
        <v>39</v>
      </c>
      <c r="F2215" t="s">
        <v>6</v>
      </c>
      <c r="G2215" s="19">
        <v>45</v>
      </c>
      <c r="H2215" t="s">
        <v>64</v>
      </c>
      <c r="I2215">
        <v>2023</v>
      </c>
    </row>
    <row r="2216" spans="1:9" x14ac:dyDescent="0.3">
      <c r="A2216">
        <v>174646924</v>
      </c>
      <c r="B2216" s="1">
        <v>45086</v>
      </c>
      <c r="D2216" t="s">
        <v>7</v>
      </c>
      <c r="E2216">
        <v>39</v>
      </c>
      <c r="F2216" t="s">
        <v>6</v>
      </c>
      <c r="H2216" t="s">
        <v>65</v>
      </c>
      <c r="I2216">
        <v>2023</v>
      </c>
    </row>
    <row r="2217" spans="1:9" x14ac:dyDescent="0.3">
      <c r="A2217">
        <v>217123644</v>
      </c>
      <c r="B2217" s="1">
        <v>45086</v>
      </c>
      <c r="D2217" t="s">
        <v>7</v>
      </c>
      <c r="E2217">
        <v>39</v>
      </c>
      <c r="F2217" t="s">
        <v>6</v>
      </c>
      <c r="H2217" t="s">
        <v>65</v>
      </c>
      <c r="I2217">
        <v>2023</v>
      </c>
    </row>
    <row r="2218" spans="1:9" x14ac:dyDescent="0.3">
      <c r="A2218">
        <v>217104490</v>
      </c>
      <c r="B2218" s="1">
        <v>45086</v>
      </c>
      <c r="D2218" t="s">
        <v>7</v>
      </c>
      <c r="E2218">
        <v>39</v>
      </c>
      <c r="F2218" t="s">
        <v>6</v>
      </c>
      <c r="H2218" t="s">
        <v>65</v>
      </c>
      <c r="I2218">
        <v>2023</v>
      </c>
    </row>
    <row r="2219" spans="1:9" x14ac:dyDescent="0.3">
      <c r="A2219">
        <v>153349708</v>
      </c>
      <c r="B2219" s="1">
        <v>45086</v>
      </c>
      <c r="D2219" t="s">
        <v>7</v>
      </c>
      <c r="E2219">
        <v>39</v>
      </c>
      <c r="F2219" t="s">
        <v>6</v>
      </c>
      <c r="H2219" t="s">
        <v>65</v>
      </c>
      <c r="I2219">
        <v>2023</v>
      </c>
    </row>
    <row r="2220" spans="1:9" x14ac:dyDescent="0.3">
      <c r="A2220">
        <v>153876204</v>
      </c>
      <c r="B2220" s="1">
        <v>45086</v>
      </c>
      <c r="C2220" s="1">
        <v>45087</v>
      </c>
      <c r="D2220" t="s">
        <v>7</v>
      </c>
      <c r="E2220">
        <v>39</v>
      </c>
      <c r="F2220" t="s">
        <v>6</v>
      </c>
      <c r="G2220" s="19">
        <v>1</v>
      </c>
      <c r="H2220" t="s">
        <v>65</v>
      </c>
      <c r="I2220">
        <v>2023</v>
      </c>
    </row>
    <row r="2221" spans="1:9" x14ac:dyDescent="0.3">
      <c r="A2221">
        <v>132442956</v>
      </c>
      <c r="B2221" s="1">
        <v>45086</v>
      </c>
      <c r="C2221" s="1">
        <v>45135</v>
      </c>
      <c r="D2221" t="s">
        <v>7</v>
      </c>
      <c r="E2221">
        <v>39</v>
      </c>
      <c r="F2221" t="s">
        <v>6</v>
      </c>
      <c r="G2221" s="19">
        <v>49</v>
      </c>
      <c r="H2221" t="s">
        <v>65</v>
      </c>
      <c r="I2221">
        <v>2023</v>
      </c>
    </row>
    <row r="2222" spans="1:9" x14ac:dyDescent="0.3">
      <c r="A2222">
        <v>130331160</v>
      </c>
      <c r="B2222" s="1">
        <v>45086</v>
      </c>
      <c r="C2222" s="1">
        <v>45109</v>
      </c>
      <c r="D2222" t="s">
        <v>7</v>
      </c>
      <c r="E2222">
        <v>39</v>
      </c>
      <c r="F2222" t="s">
        <v>6</v>
      </c>
      <c r="G2222" s="19">
        <v>23</v>
      </c>
      <c r="H2222" t="s">
        <v>65</v>
      </c>
      <c r="I2222">
        <v>2023</v>
      </c>
    </row>
    <row r="2223" spans="1:9" x14ac:dyDescent="0.3">
      <c r="A2223">
        <v>216225148</v>
      </c>
      <c r="B2223" s="1">
        <v>45086</v>
      </c>
      <c r="C2223" s="1">
        <v>45086</v>
      </c>
      <c r="D2223" t="s">
        <v>7</v>
      </c>
      <c r="E2223">
        <v>39</v>
      </c>
      <c r="F2223" t="s">
        <v>6</v>
      </c>
      <c r="G2223" s="19">
        <v>0</v>
      </c>
      <c r="H2223" t="s">
        <v>65</v>
      </c>
      <c r="I2223">
        <v>2023</v>
      </c>
    </row>
    <row r="2224" spans="1:9" x14ac:dyDescent="0.3">
      <c r="A2224">
        <v>161187748</v>
      </c>
      <c r="B2224" s="1">
        <v>45086</v>
      </c>
      <c r="C2224" s="1">
        <v>45131</v>
      </c>
      <c r="D2224" t="s">
        <v>7</v>
      </c>
      <c r="E2224">
        <v>39</v>
      </c>
      <c r="F2224" t="s">
        <v>6</v>
      </c>
      <c r="G2224" s="19">
        <v>45</v>
      </c>
      <c r="H2224" t="s">
        <v>65</v>
      </c>
      <c r="I2224">
        <v>2023</v>
      </c>
    </row>
    <row r="2225" spans="1:9" x14ac:dyDescent="0.3">
      <c r="A2225">
        <v>217137211</v>
      </c>
      <c r="B2225" s="1">
        <v>45086</v>
      </c>
      <c r="C2225" s="1">
        <v>45123</v>
      </c>
      <c r="D2225" t="s">
        <v>7</v>
      </c>
      <c r="E2225">
        <v>39</v>
      </c>
      <c r="F2225" t="s">
        <v>6</v>
      </c>
      <c r="G2225" s="19">
        <v>37</v>
      </c>
      <c r="H2225" t="s">
        <v>65</v>
      </c>
      <c r="I2225">
        <v>2023</v>
      </c>
    </row>
    <row r="2226" spans="1:9" x14ac:dyDescent="0.3">
      <c r="A2226">
        <v>180796559</v>
      </c>
      <c r="B2226" s="1">
        <v>45086</v>
      </c>
      <c r="C2226" s="1">
        <v>45123</v>
      </c>
      <c r="D2226" t="s">
        <v>7</v>
      </c>
      <c r="E2226">
        <v>39</v>
      </c>
      <c r="F2226" t="s">
        <v>6</v>
      </c>
      <c r="G2226" s="19">
        <v>37</v>
      </c>
      <c r="H2226" t="s">
        <v>65</v>
      </c>
      <c r="I2226">
        <v>2023</v>
      </c>
    </row>
    <row r="2227" spans="1:9" x14ac:dyDescent="0.3">
      <c r="A2227">
        <v>168200039</v>
      </c>
      <c r="B2227" s="1">
        <v>45087</v>
      </c>
      <c r="C2227" s="1">
        <v>45088</v>
      </c>
      <c r="D2227" t="s">
        <v>7</v>
      </c>
      <c r="E2227">
        <v>39</v>
      </c>
      <c r="F2227" t="s">
        <v>6</v>
      </c>
      <c r="G2227" s="19">
        <v>1</v>
      </c>
      <c r="H2227" t="s">
        <v>66</v>
      </c>
      <c r="I2227">
        <v>2023</v>
      </c>
    </row>
    <row r="2228" spans="1:9" x14ac:dyDescent="0.3">
      <c r="A2228">
        <v>217110396</v>
      </c>
      <c r="B2228" s="1">
        <v>45087</v>
      </c>
      <c r="C2228" s="1">
        <v>45101</v>
      </c>
      <c r="D2228" t="s">
        <v>7</v>
      </c>
      <c r="E2228">
        <v>39</v>
      </c>
      <c r="F2228" t="s">
        <v>6</v>
      </c>
      <c r="G2228" s="19">
        <v>14</v>
      </c>
      <c r="H2228" t="s">
        <v>66</v>
      </c>
      <c r="I2228">
        <v>2023</v>
      </c>
    </row>
    <row r="2229" spans="1:9" x14ac:dyDescent="0.3">
      <c r="A2229">
        <v>217159016</v>
      </c>
      <c r="B2229" s="1">
        <v>45087</v>
      </c>
      <c r="C2229" s="1">
        <v>45149</v>
      </c>
      <c r="D2229" t="s">
        <v>7</v>
      </c>
      <c r="E2229">
        <v>39</v>
      </c>
      <c r="F2229" t="s">
        <v>6</v>
      </c>
      <c r="G2229" s="19">
        <v>62</v>
      </c>
      <c r="H2229" t="s">
        <v>66</v>
      </c>
      <c r="I2229">
        <v>2023</v>
      </c>
    </row>
    <row r="2230" spans="1:9" x14ac:dyDescent="0.3">
      <c r="A2230">
        <v>217215106</v>
      </c>
      <c r="B2230" s="1">
        <v>45088</v>
      </c>
      <c r="D2230" t="s">
        <v>7</v>
      </c>
      <c r="E2230">
        <v>39</v>
      </c>
      <c r="F2230" t="s">
        <v>6</v>
      </c>
      <c r="H2230" t="s">
        <v>60</v>
      </c>
      <c r="I2230">
        <v>2023</v>
      </c>
    </row>
    <row r="2231" spans="1:9" x14ac:dyDescent="0.3">
      <c r="A2231">
        <v>129819604</v>
      </c>
      <c r="B2231" s="1">
        <v>45088</v>
      </c>
      <c r="C2231" s="1">
        <v>45125</v>
      </c>
      <c r="D2231" t="s">
        <v>7</v>
      </c>
      <c r="E2231">
        <v>39</v>
      </c>
      <c r="F2231" t="s">
        <v>6</v>
      </c>
      <c r="G2231" s="19">
        <v>37</v>
      </c>
      <c r="H2231" t="s">
        <v>60</v>
      </c>
      <c r="I2231">
        <v>2023</v>
      </c>
    </row>
    <row r="2232" spans="1:9" x14ac:dyDescent="0.3">
      <c r="A2232">
        <v>217208086</v>
      </c>
      <c r="B2232" s="1">
        <v>45088</v>
      </c>
      <c r="C2232" s="1">
        <v>45133</v>
      </c>
      <c r="D2232" t="s">
        <v>7</v>
      </c>
      <c r="E2232">
        <v>39</v>
      </c>
      <c r="F2232" t="s">
        <v>6</v>
      </c>
      <c r="G2232" s="19">
        <v>45</v>
      </c>
      <c r="H2232" t="s">
        <v>60</v>
      </c>
      <c r="I2232">
        <v>2023</v>
      </c>
    </row>
    <row r="2233" spans="1:9" x14ac:dyDescent="0.3">
      <c r="A2233">
        <v>215534470</v>
      </c>
      <c r="B2233" s="1">
        <v>45088</v>
      </c>
      <c r="C2233" s="1">
        <v>45125</v>
      </c>
      <c r="D2233" t="s">
        <v>7</v>
      </c>
      <c r="E2233">
        <v>39</v>
      </c>
      <c r="F2233" t="s">
        <v>6</v>
      </c>
      <c r="G2233" s="19">
        <v>37</v>
      </c>
      <c r="H2233" t="s">
        <v>60</v>
      </c>
      <c r="I2233">
        <v>2023</v>
      </c>
    </row>
    <row r="2234" spans="1:9" x14ac:dyDescent="0.3">
      <c r="A2234">
        <v>217277033</v>
      </c>
      <c r="B2234" s="1">
        <v>45089</v>
      </c>
      <c r="D2234" t="s">
        <v>7</v>
      </c>
      <c r="E2234">
        <v>39</v>
      </c>
      <c r="F2234" t="s">
        <v>6</v>
      </c>
      <c r="H2234" t="s">
        <v>61</v>
      </c>
      <c r="I2234">
        <v>2023</v>
      </c>
    </row>
    <row r="2235" spans="1:9" x14ac:dyDescent="0.3">
      <c r="A2235">
        <v>136199071</v>
      </c>
      <c r="B2235" s="1">
        <v>45089</v>
      </c>
      <c r="D2235" t="s">
        <v>7</v>
      </c>
      <c r="E2235">
        <v>39</v>
      </c>
      <c r="F2235" t="s">
        <v>6</v>
      </c>
      <c r="H2235" t="s">
        <v>61</v>
      </c>
      <c r="I2235">
        <v>2023</v>
      </c>
    </row>
    <row r="2236" spans="1:9" x14ac:dyDescent="0.3">
      <c r="A2236">
        <v>217102618</v>
      </c>
      <c r="B2236" s="1">
        <v>45089</v>
      </c>
      <c r="D2236" t="s">
        <v>7</v>
      </c>
      <c r="E2236">
        <v>39</v>
      </c>
      <c r="F2236" t="s">
        <v>6</v>
      </c>
      <c r="H2236" t="s">
        <v>61</v>
      </c>
      <c r="I2236">
        <v>2023</v>
      </c>
    </row>
    <row r="2237" spans="1:9" x14ac:dyDescent="0.3">
      <c r="A2237">
        <v>217252136</v>
      </c>
      <c r="B2237" s="1">
        <v>45089</v>
      </c>
      <c r="D2237" t="s">
        <v>7</v>
      </c>
      <c r="E2237">
        <v>39</v>
      </c>
      <c r="F2237" t="s">
        <v>6</v>
      </c>
      <c r="H2237" t="s">
        <v>61</v>
      </c>
      <c r="I2237">
        <v>2023</v>
      </c>
    </row>
    <row r="2238" spans="1:9" x14ac:dyDescent="0.3">
      <c r="A2238">
        <v>215856743</v>
      </c>
      <c r="B2238" s="1">
        <v>45089</v>
      </c>
      <c r="D2238" t="s">
        <v>7</v>
      </c>
      <c r="E2238">
        <v>39</v>
      </c>
      <c r="F2238" t="s">
        <v>6</v>
      </c>
      <c r="H2238" t="s">
        <v>61</v>
      </c>
      <c r="I2238">
        <v>2023</v>
      </c>
    </row>
    <row r="2239" spans="1:9" x14ac:dyDescent="0.3">
      <c r="A2239">
        <v>217260184</v>
      </c>
      <c r="B2239" s="1">
        <v>45089</v>
      </c>
      <c r="C2239" s="1">
        <v>45090</v>
      </c>
      <c r="D2239" t="s">
        <v>8</v>
      </c>
      <c r="E2239">
        <v>39</v>
      </c>
      <c r="F2239" t="s">
        <v>6</v>
      </c>
      <c r="G2239" s="19">
        <v>1</v>
      </c>
      <c r="H2239" t="s">
        <v>61</v>
      </c>
      <c r="I2239">
        <v>2023</v>
      </c>
    </row>
    <row r="2240" spans="1:9" x14ac:dyDescent="0.3">
      <c r="A2240">
        <v>140371292</v>
      </c>
      <c r="B2240" s="1">
        <v>45089</v>
      </c>
      <c r="C2240" s="1">
        <v>45117</v>
      </c>
      <c r="D2240" t="s">
        <v>7</v>
      </c>
      <c r="E2240">
        <v>39</v>
      </c>
      <c r="F2240" t="s">
        <v>6</v>
      </c>
      <c r="G2240" s="19">
        <v>28</v>
      </c>
      <c r="H2240" t="s">
        <v>61</v>
      </c>
      <c r="I2240">
        <v>2023</v>
      </c>
    </row>
    <row r="2241" spans="1:9" x14ac:dyDescent="0.3">
      <c r="A2241">
        <v>164903790</v>
      </c>
      <c r="B2241" s="1">
        <v>45089</v>
      </c>
      <c r="C2241" s="1">
        <v>45127</v>
      </c>
      <c r="D2241" t="s">
        <v>7</v>
      </c>
      <c r="E2241">
        <v>39</v>
      </c>
      <c r="F2241" t="s">
        <v>6</v>
      </c>
      <c r="G2241" s="19">
        <v>38</v>
      </c>
      <c r="H2241" t="s">
        <v>61</v>
      </c>
      <c r="I2241">
        <v>2023</v>
      </c>
    </row>
    <row r="2242" spans="1:9" x14ac:dyDescent="0.3">
      <c r="A2242">
        <v>217206158</v>
      </c>
      <c r="B2242" s="1">
        <v>45089</v>
      </c>
      <c r="C2242" s="1">
        <v>45149</v>
      </c>
      <c r="D2242" t="s">
        <v>7</v>
      </c>
      <c r="E2242">
        <v>39</v>
      </c>
      <c r="F2242" t="s">
        <v>6</v>
      </c>
      <c r="G2242" s="19">
        <v>60</v>
      </c>
      <c r="H2242" t="s">
        <v>61</v>
      </c>
      <c r="I2242">
        <v>2023</v>
      </c>
    </row>
    <row r="2243" spans="1:9" x14ac:dyDescent="0.3">
      <c r="A2243">
        <v>215180470</v>
      </c>
      <c r="B2243" s="1">
        <v>45089</v>
      </c>
      <c r="C2243" s="1">
        <v>45144</v>
      </c>
      <c r="D2243" t="s">
        <v>7</v>
      </c>
      <c r="E2243">
        <v>39</v>
      </c>
      <c r="F2243" t="s">
        <v>6</v>
      </c>
      <c r="G2243" s="19">
        <v>55</v>
      </c>
      <c r="H2243" t="s">
        <v>61</v>
      </c>
      <c r="I2243">
        <v>2023</v>
      </c>
    </row>
    <row r="2244" spans="1:9" x14ac:dyDescent="0.3">
      <c r="A2244">
        <v>217246611</v>
      </c>
      <c r="B2244" s="1">
        <v>45089</v>
      </c>
      <c r="C2244" s="1">
        <v>45113</v>
      </c>
      <c r="D2244" t="s">
        <v>7</v>
      </c>
      <c r="E2244">
        <v>39</v>
      </c>
      <c r="F2244" t="s">
        <v>6</v>
      </c>
      <c r="G2244" s="19">
        <v>24</v>
      </c>
      <c r="H2244" t="s">
        <v>61</v>
      </c>
      <c r="I2244">
        <v>2023</v>
      </c>
    </row>
    <row r="2245" spans="1:9" x14ac:dyDescent="0.3">
      <c r="A2245">
        <v>217080066</v>
      </c>
      <c r="B2245" s="1">
        <v>45089</v>
      </c>
      <c r="C2245" s="1">
        <v>45119</v>
      </c>
      <c r="D2245" t="s">
        <v>7</v>
      </c>
      <c r="E2245">
        <v>39</v>
      </c>
      <c r="F2245" t="s">
        <v>6</v>
      </c>
      <c r="G2245" s="19">
        <v>30</v>
      </c>
      <c r="H2245" t="s">
        <v>61</v>
      </c>
      <c r="I2245">
        <v>2023</v>
      </c>
    </row>
    <row r="2246" spans="1:9" x14ac:dyDescent="0.3">
      <c r="A2246">
        <v>214510838</v>
      </c>
      <c r="B2246" s="1">
        <v>45090</v>
      </c>
      <c r="D2246" t="s">
        <v>7</v>
      </c>
      <c r="E2246">
        <v>39</v>
      </c>
      <c r="F2246" t="s">
        <v>6</v>
      </c>
      <c r="H2246" t="s">
        <v>62</v>
      </c>
      <c r="I2246">
        <v>2023</v>
      </c>
    </row>
    <row r="2247" spans="1:9" x14ac:dyDescent="0.3">
      <c r="A2247">
        <v>217241338</v>
      </c>
      <c r="B2247" s="1">
        <v>45090</v>
      </c>
      <c r="D2247" t="s">
        <v>7</v>
      </c>
      <c r="E2247">
        <v>39</v>
      </c>
      <c r="F2247" t="s">
        <v>6</v>
      </c>
      <c r="H2247" t="s">
        <v>62</v>
      </c>
      <c r="I2247">
        <v>2023</v>
      </c>
    </row>
    <row r="2248" spans="1:9" x14ac:dyDescent="0.3">
      <c r="A2248">
        <v>215447681</v>
      </c>
      <c r="B2248" s="1">
        <v>45090</v>
      </c>
      <c r="D2248" t="s">
        <v>7</v>
      </c>
      <c r="E2248">
        <v>39</v>
      </c>
      <c r="F2248" t="s">
        <v>6</v>
      </c>
      <c r="H2248" t="s">
        <v>62</v>
      </c>
      <c r="I2248">
        <v>2023</v>
      </c>
    </row>
    <row r="2249" spans="1:9" x14ac:dyDescent="0.3">
      <c r="A2249">
        <v>214746385</v>
      </c>
      <c r="B2249" s="1">
        <v>45090</v>
      </c>
      <c r="D2249" t="s">
        <v>7</v>
      </c>
      <c r="E2249">
        <v>39</v>
      </c>
      <c r="F2249" t="s">
        <v>6</v>
      </c>
      <c r="H2249" t="s">
        <v>62</v>
      </c>
      <c r="I2249">
        <v>2023</v>
      </c>
    </row>
    <row r="2250" spans="1:9" x14ac:dyDescent="0.3">
      <c r="A2250">
        <v>217279595</v>
      </c>
      <c r="B2250" s="1">
        <v>45090</v>
      </c>
      <c r="D2250" t="s">
        <v>7</v>
      </c>
      <c r="E2250">
        <v>39</v>
      </c>
      <c r="F2250" t="s">
        <v>6</v>
      </c>
      <c r="H2250" t="s">
        <v>62</v>
      </c>
      <c r="I2250">
        <v>2023</v>
      </c>
    </row>
    <row r="2251" spans="1:9" x14ac:dyDescent="0.3">
      <c r="A2251">
        <v>138725699</v>
      </c>
      <c r="B2251" s="1">
        <v>45090</v>
      </c>
      <c r="C2251" s="1">
        <v>45091</v>
      </c>
      <c r="D2251" t="s">
        <v>7</v>
      </c>
      <c r="E2251">
        <v>39</v>
      </c>
      <c r="F2251" t="s">
        <v>6</v>
      </c>
      <c r="G2251" s="19">
        <v>1</v>
      </c>
      <c r="H2251" t="s">
        <v>62</v>
      </c>
      <c r="I2251">
        <v>2023</v>
      </c>
    </row>
    <row r="2252" spans="1:9" x14ac:dyDescent="0.3">
      <c r="A2252">
        <v>199464176</v>
      </c>
      <c r="B2252" s="1">
        <v>45090</v>
      </c>
      <c r="C2252" s="1">
        <v>45138</v>
      </c>
      <c r="D2252" t="s">
        <v>7</v>
      </c>
      <c r="E2252">
        <v>39</v>
      </c>
      <c r="F2252" t="s">
        <v>6</v>
      </c>
      <c r="G2252" s="19">
        <v>48</v>
      </c>
      <c r="H2252" t="s">
        <v>62</v>
      </c>
      <c r="I2252">
        <v>2023</v>
      </c>
    </row>
    <row r="2253" spans="1:9" x14ac:dyDescent="0.3">
      <c r="A2253">
        <v>217269788</v>
      </c>
      <c r="B2253" s="1">
        <v>45090</v>
      </c>
      <c r="C2253" s="1">
        <v>45128</v>
      </c>
      <c r="D2253" t="s">
        <v>7</v>
      </c>
      <c r="E2253">
        <v>39</v>
      </c>
      <c r="F2253" t="s">
        <v>6</v>
      </c>
      <c r="G2253" s="19">
        <v>38</v>
      </c>
      <c r="H2253" t="s">
        <v>62</v>
      </c>
      <c r="I2253">
        <v>2023</v>
      </c>
    </row>
    <row r="2254" spans="1:9" x14ac:dyDescent="0.3">
      <c r="A2254">
        <v>217210206</v>
      </c>
      <c r="B2254" s="1">
        <v>45090</v>
      </c>
      <c r="C2254" s="1">
        <v>45112</v>
      </c>
      <c r="D2254" t="s">
        <v>7</v>
      </c>
      <c r="E2254">
        <v>39</v>
      </c>
      <c r="F2254" t="s">
        <v>6</v>
      </c>
      <c r="G2254" s="19">
        <v>22</v>
      </c>
      <c r="H2254" t="s">
        <v>62</v>
      </c>
      <c r="I2254">
        <v>2023</v>
      </c>
    </row>
    <row r="2255" spans="1:9" x14ac:dyDescent="0.3">
      <c r="A2255">
        <v>217276264</v>
      </c>
      <c r="B2255" s="1">
        <v>45091</v>
      </c>
      <c r="D2255" t="s">
        <v>7</v>
      </c>
      <c r="E2255">
        <v>39</v>
      </c>
      <c r="F2255" t="s">
        <v>6</v>
      </c>
      <c r="H2255" t="s">
        <v>63</v>
      </c>
      <c r="I2255">
        <v>2023</v>
      </c>
    </row>
    <row r="2256" spans="1:9" x14ac:dyDescent="0.3">
      <c r="A2256">
        <v>217242854</v>
      </c>
      <c r="B2256" s="1">
        <v>45091</v>
      </c>
      <c r="D2256" t="s">
        <v>7</v>
      </c>
      <c r="E2256">
        <v>39</v>
      </c>
      <c r="F2256" t="s">
        <v>6</v>
      </c>
      <c r="H2256" t="s">
        <v>63</v>
      </c>
      <c r="I2256">
        <v>2023</v>
      </c>
    </row>
    <row r="2257" spans="1:9" x14ac:dyDescent="0.3">
      <c r="A2257">
        <v>140062581</v>
      </c>
      <c r="B2257" s="1">
        <v>45091</v>
      </c>
      <c r="C2257" s="1">
        <v>45092</v>
      </c>
      <c r="D2257" t="s">
        <v>7</v>
      </c>
      <c r="E2257">
        <v>39</v>
      </c>
      <c r="F2257" t="s">
        <v>6</v>
      </c>
      <c r="G2257" s="19">
        <v>1</v>
      </c>
      <c r="H2257" t="s">
        <v>63</v>
      </c>
      <c r="I2257">
        <v>2023</v>
      </c>
    </row>
    <row r="2258" spans="1:9" x14ac:dyDescent="0.3">
      <c r="A2258">
        <v>217340338</v>
      </c>
      <c r="B2258" s="1">
        <v>45091</v>
      </c>
      <c r="C2258" s="1">
        <v>45091</v>
      </c>
      <c r="D2258" t="s">
        <v>8</v>
      </c>
      <c r="E2258">
        <v>39</v>
      </c>
      <c r="F2258" t="s">
        <v>6</v>
      </c>
      <c r="G2258" s="19">
        <v>0</v>
      </c>
      <c r="H2258" t="s">
        <v>63</v>
      </c>
      <c r="I2258">
        <v>2023</v>
      </c>
    </row>
    <row r="2259" spans="1:9" x14ac:dyDescent="0.3">
      <c r="A2259">
        <v>157435806</v>
      </c>
      <c r="B2259" s="1">
        <v>45091</v>
      </c>
      <c r="C2259" s="1">
        <v>45121</v>
      </c>
      <c r="D2259" t="s">
        <v>7</v>
      </c>
      <c r="E2259">
        <v>39</v>
      </c>
      <c r="F2259" t="s">
        <v>6</v>
      </c>
      <c r="G2259" s="19">
        <v>30</v>
      </c>
      <c r="H2259" t="s">
        <v>63</v>
      </c>
      <c r="I2259">
        <v>2023</v>
      </c>
    </row>
    <row r="2260" spans="1:9" x14ac:dyDescent="0.3">
      <c r="A2260">
        <v>217358299</v>
      </c>
      <c r="B2260" s="1">
        <v>45091</v>
      </c>
      <c r="C2260" s="1">
        <v>45149</v>
      </c>
      <c r="D2260" t="s">
        <v>7</v>
      </c>
      <c r="E2260">
        <v>39</v>
      </c>
      <c r="F2260" t="s">
        <v>6</v>
      </c>
      <c r="G2260" s="19">
        <v>58</v>
      </c>
      <c r="H2260" t="s">
        <v>63</v>
      </c>
      <c r="I2260">
        <v>2023</v>
      </c>
    </row>
    <row r="2261" spans="1:9" x14ac:dyDescent="0.3">
      <c r="A2261">
        <v>217330046</v>
      </c>
      <c r="B2261" s="1">
        <v>45091</v>
      </c>
      <c r="C2261" s="1">
        <v>45108</v>
      </c>
      <c r="D2261" t="s">
        <v>7</v>
      </c>
      <c r="E2261">
        <v>39</v>
      </c>
      <c r="F2261" t="s">
        <v>6</v>
      </c>
      <c r="G2261" s="19">
        <v>17</v>
      </c>
      <c r="H2261" t="s">
        <v>63</v>
      </c>
      <c r="I2261">
        <v>2023</v>
      </c>
    </row>
    <row r="2262" spans="1:9" x14ac:dyDescent="0.3">
      <c r="A2262">
        <v>216945894</v>
      </c>
      <c r="B2262" s="1">
        <v>45092</v>
      </c>
      <c r="D2262" t="s">
        <v>7</v>
      </c>
      <c r="E2262">
        <v>39</v>
      </c>
      <c r="F2262" t="s">
        <v>6</v>
      </c>
      <c r="H2262" t="s">
        <v>64</v>
      </c>
      <c r="I2262">
        <v>2023</v>
      </c>
    </row>
    <row r="2263" spans="1:9" x14ac:dyDescent="0.3">
      <c r="A2263">
        <v>150178354</v>
      </c>
      <c r="B2263" s="1">
        <v>45092</v>
      </c>
      <c r="D2263" t="s">
        <v>7</v>
      </c>
      <c r="E2263">
        <v>39</v>
      </c>
      <c r="F2263" t="s">
        <v>6</v>
      </c>
      <c r="H2263" t="s">
        <v>64</v>
      </c>
      <c r="I2263">
        <v>2023</v>
      </c>
    </row>
    <row r="2264" spans="1:9" x14ac:dyDescent="0.3">
      <c r="A2264">
        <v>153942818</v>
      </c>
      <c r="B2264" s="1">
        <v>45092</v>
      </c>
      <c r="D2264" t="s">
        <v>7</v>
      </c>
      <c r="E2264">
        <v>39</v>
      </c>
      <c r="F2264" t="s">
        <v>6</v>
      </c>
      <c r="H2264" t="s">
        <v>64</v>
      </c>
      <c r="I2264">
        <v>2023</v>
      </c>
    </row>
    <row r="2265" spans="1:9" x14ac:dyDescent="0.3">
      <c r="A2265">
        <v>150728848</v>
      </c>
      <c r="B2265" s="1">
        <v>45092</v>
      </c>
      <c r="D2265" t="s">
        <v>7</v>
      </c>
      <c r="E2265">
        <v>39</v>
      </c>
      <c r="F2265" t="s">
        <v>6</v>
      </c>
      <c r="H2265" t="s">
        <v>64</v>
      </c>
      <c r="I2265">
        <v>2023</v>
      </c>
    </row>
    <row r="2266" spans="1:9" x14ac:dyDescent="0.3">
      <c r="A2266">
        <v>138725699</v>
      </c>
      <c r="B2266" s="1">
        <v>45092</v>
      </c>
      <c r="D2266" t="s">
        <v>7</v>
      </c>
      <c r="E2266">
        <v>39</v>
      </c>
      <c r="F2266" t="s">
        <v>6</v>
      </c>
      <c r="H2266" t="s">
        <v>64</v>
      </c>
      <c r="I2266">
        <v>2023</v>
      </c>
    </row>
    <row r="2267" spans="1:9" x14ac:dyDescent="0.3">
      <c r="A2267">
        <v>217207926</v>
      </c>
      <c r="B2267" s="1">
        <v>45092</v>
      </c>
      <c r="D2267" t="s">
        <v>7</v>
      </c>
      <c r="E2267">
        <v>39</v>
      </c>
      <c r="F2267" t="s">
        <v>6</v>
      </c>
      <c r="H2267" t="s">
        <v>64</v>
      </c>
      <c r="I2267">
        <v>2023</v>
      </c>
    </row>
    <row r="2268" spans="1:9" x14ac:dyDescent="0.3">
      <c r="A2268">
        <v>217370233</v>
      </c>
      <c r="B2268" s="1">
        <v>45092</v>
      </c>
      <c r="D2268" t="s">
        <v>7</v>
      </c>
      <c r="E2268">
        <v>39</v>
      </c>
      <c r="F2268" t="s">
        <v>6</v>
      </c>
      <c r="H2268" t="s">
        <v>64</v>
      </c>
      <c r="I2268">
        <v>2023</v>
      </c>
    </row>
    <row r="2269" spans="1:9" x14ac:dyDescent="0.3">
      <c r="A2269">
        <v>205464540</v>
      </c>
      <c r="B2269" s="1">
        <v>45092</v>
      </c>
      <c r="C2269" s="1">
        <v>45129</v>
      </c>
      <c r="D2269" t="s">
        <v>7</v>
      </c>
      <c r="E2269">
        <v>39</v>
      </c>
      <c r="F2269" t="s">
        <v>6</v>
      </c>
      <c r="G2269" s="19">
        <v>37</v>
      </c>
      <c r="H2269" t="s">
        <v>64</v>
      </c>
      <c r="I2269">
        <v>2023</v>
      </c>
    </row>
    <row r="2270" spans="1:9" x14ac:dyDescent="0.3">
      <c r="A2270">
        <v>167403892</v>
      </c>
      <c r="B2270" s="1">
        <v>45092</v>
      </c>
      <c r="C2270" s="1">
        <v>45160</v>
      </c>
      <c r="D2270" t="s">
        <v>7</v>
      </c>
      <c r="E2270">
        <v>39</v>
      </c>
      <c r="F2270" t="s">
        <v>6</v>
      </c>
      <c r="G2270" s="19">
        <v>68</v>
      </c>
      <c r="H2270" t="s">
        <v>64</v>
      </c>
      <c r="I2270">
        <v>2023</v>
      </c>
    </row>
    <row r="2271" spans="1:9" x14ac:dyDescent="0.3">
      <c r="A2271">
        <v>217326821</v>
      </c>
      <c r="B2271" s="1">
        <v>45092</v>
      </c>
      <c r="C2271" s="1">
        <v>45160</v>
      </c>
      <c r="D2271" t="s">
        <v>7</v>
      </c>
      <c r="E2271">
        <v>39</v>
      </c>
      <c r="F2271" t="s">
        <v>6</v>
      </c>
      <c r="G2271" s="19">
        <v>68</v>
      </c>
      <c r="H2271" t="s">
        <v>64</v>
      </c>
      <c r="I2271">
        <v>2023</v>
      </c>
    </row>
    <row r="2272" spans="1:9" x14ac:dyDescent="0.3">
      <c r="A2272">
        <v>214918906</v>
      </c>
      <c r="B2272" s="1">
        <v>45092</v>
      </c>
      <c r="C2272" s="1">
        <v>45129</v>
      </c>
      <c r="D2272" t="s">
        <v>7</v>
      </c>
      <c r="E2272">
        <v>39</v>
      </c>
      <c r="F2272" t="s">
        <v>6</v>
      </c>
      <c r="G2272" s="19">
        <v>37</v>
      </c>
      <c r="H2272" t="s">
        <v>64</v>
      </c>
      <c r="I2272">
        <v>2023</v>
      </c>
    </row>
    <row r="2273" spans="1:9" x14ac:dyDescent="0.3">
      <c r="A2273">
        <v>216983668</v>
      </c>
      <c r="B2273" s="1">
        <v>45092</v>
      </c>
      <c r="C2273" s="1">
        <v>45122</v>
      </c>
      <c r="D2273" t="s">
        <v>7</v>
      </c>
      <c r="E2273">
        <v>39</v>
      </c>
      <c r="F2273" t="s">
        <v>6</v>
      </c>
      <c r="G2273" s="19">
        <v>30</v>
      </c>
      <c r="H2273" t="s">
        <v>64</v>
      </c>
      <c r="I2273">
        <v>2023</v>
      </c>
    </row>
    <row r="2274" spans="1:9" x14ac:dyDescent="0.3">
      <c r="A2274">
        <v>217454204</v>
      </c>
      <c r="B2274" s="1">
        <v>45093</v>
      </c>
      <c r="D2274" t="s">
        <v>7</v>
      </c>
      <c r="E2274">
        <v>39</v>
      </c>
      <c r="F2274" t="s">
        <v>6</v>
      </c>
      <c r="H2274" t="s">
        <v>65</v>
      </c>
      <c r="I2274">
        <v>2023</v>
      </c>
    </row>
    <row r="2275" spans="1:9" x14ac:dyDescent="0.3">
      <c r="A2275">
        <v>206049284</v>
      </c>
      <c r="B2275" s="1">
        <v>45093</v>
      </c>
      <c r="D2275" t="s">
        <v>7</v>
      </c>
      <c r="E2275">
        <v>39</v>
      </c>
      <c r="F2275" t="s">
        <v>6</v>
      </c>
      <c r="H2275" t="s">
        <v>65</v>
      </c>
      <c r="I2275">
        <v>2023</v>
      </c>
    </row>
    <row r="2276" spans="1:9" x14ac:dyDescent="0.3">
      <c r="A2276">
        <v>132852439</v>
      </c>
      <c r="B2276" s="1">
        <v>45093</v>
      </c>
      <c r="D2276" t="s">
        <v>7</v>
      </c>
      <c r="E2276">
        <v>39</v>
      </c>
      <c r="F2276" t="s">
        <v>6</v>
      </c>
      <c r="H2276" t="s">
        <v>65</v>
      </c>
      <c r="I2276">
        <v>2023</v>
      </c>
    </row>
    <row r="2277" spans="1:9" x14ac:dyDescent="0.3">
      <c r="A2277">
        <v>217233198</v>
      </c>
      <c r="B2277" s="1">
        <v>45093</v>
      </c>
      <c r="D2277" t="s">
        <v>7</v>
      </c>
      <c r="E2277">
        <v>39</v>
      </c>
      <c r="F2277" t="s">
        <v>6</v>
      </c>
      <c r="H2277" t="s">
        <v>65</v>
      </c>
      <c r="I2277">
        <v>2023</v>
      </c>
    </row>
    <row r="2278" spans="1:9" x14ac:dyDescent="0.3">
      <c r="A2278">
        <v>188197564</v>
      </c>
      <c r="B2278" s="1">
        <v>45093</v>
      </c>
      <c r="C2278" s="1">
        <v>45094</v>
      </c>
      <c r="D2278" t="s">
        <v>7</v>
      </c>
      <c r="E2278">
        <v>39</v>
      </c>
      <c r="F2278" t="s">
        <v>6</v>
      </c>
      <c r="G2278" s="19">
        <v>1</v>
      </c>
      <c r="H2278" t="s">
        <v>65</v>
      </c>
      <c r="I2278">
        <v>2023</v>
      </c>
    </row>
    <row r="2279" spans="1:9" x14ac:dyDescent="0.3">
      <c r="A2279">
        <v>146952862</v>
      </c>
      <c r="B2279" s="1">
        <v>45093</v>
      </c>
      <c r="C2279" s="1">
        <v>45119</v>
      </c>
      <c r="D2279" t="s">
        <v>7</v>
      </c>
      <c r="E2279">
        <v>39</v>
      </c>
      <c r="F2279" t="s">
        <v>6</v>
      </c>
      <c r="G2279" s="19">
        <v>26</v>
      </c>
      <c r="H2279" t="s">
        <v>65</v>
      </c>
      <c r="I2279">
        <v>2023</v>
      </c>
    </row>
    <row r="2280" spans="1:9" x14ac:dyDescent="0.3">
      <c r="A2280">
        <v>152846561</v>
      </c>
      <c r="B2280" s="1">
        <v>45093</v>
      </c>
      <c r="C2280" s="1">
        <v>45130</v>
      </c>
      <c r="D2280" t="s">
        <v>7</v>
      </c>
      <c r="E2280">
        <v>39</v>
      </c>
      <c r="F2280" t="s">
        <v>6</v>
      </c>
      <c r="G2280" s="19">
        <v>37</v>
      </c>
      <c r="H2280" t="s">
        <v>65</v>
      </c>
      <c r="I2280">
        <v>2023</v>
      </c>
    </row>
    <row r="2281" spans="1:9" x14ac:dyDescent="0.3">
      <c r="A2281">
        <v>132867770</v>
      </c>
      <c r="B2281" s="1">
        <v>45093</v>
      </c>
      <c r="C2281" s="1">
        <v>45131</v>
      </c>
      <c r="D2281" t="s">
        <v>7</v>
      </c>
      <c r="E2281">
        <v>39</v>
      </c>
      <c r="F2281" t="s">
        <v>6</v>
      </c>
      <c r="G2281" s="19">
        <v>38</v>
      </c>
      <c r="H2281" t="s">
        <v>65</v>
      </c>
      <c r="I2281">
        <v>2023</v>
      </c>
    </row>
    <row r="2282" spans="1:9" x14ac:dyDescent="0.3">
      <c r="A2282">
        <v>206370330</v>
      </c>
      <c r="B2282" s="1">
        <v>45093</v>
      </c>
      <c r="C2282" s="1">
        <v>45153</v>
      </c>
      <c r="D2282" t="s">
        <v>7</v>
      </c>
      <c r="E2282">
        <v>39</v>
      </c>
      <c r="F2282" t="s">
        <v>6</v>
      </c>
      <c r="G2282" s="19">
        <v>60</v>
      </c>
      <c r="H2282" t="s">
        <v>65</v>
      </c>
      <c r="I2282">
        <v>2023</v>
      </c>
    </row>
    <row r="2283" spans="1:9" x14ac:dyDescent="0.3">
      <c r="A2283">
        <v>217438230</v>
      </c>
      <c r="B2283" s="1">
        <v>45093</v>
      </c>
      <c r="C2283" s="1">
        <v>45120</v>
      </c>
      <c r="D2283" t="s">
        <v>7</v>
      </c>
      <c r="E2283">
        <v>39</v>
      </c>
      <c r="F2283" t="s">
        <v>6</v>
      </c>
      <c r="G2283" s="19">
        <v>27</v>
      </c>
      <c r="H2283" t="s">
        <v>65</v>
      </c>
      <c r="I2283">
        <v>2023</v>
      </c>
    </row>
    <row r="2284" spans="1:9" x14ac:dyDescent="0.3">
      <c r="A2284">
        <v>217426939</v>
      </c>
      <c r="B2284" s="1">
        <v>45093</v>
      </c>
      <c r="C2284" s="1">
        <v>45123</v>
      </c>
      <c r="D2284" t="s">
        <v>7</v>
      </c>
      <c r="E2284">
        <v>39</v>
      </c>
      <c r="F2284" t="s">
        <v>6</v>
      </c>
      <c r="G2284" s="19">
        <v>30</v>
      </c>
      <c r="H2284" t="s">
        <v>65</v>
      </c>
      <c r="I2284">
        <v>2023</v>
      </c>
    </row>
    <row r="2285" spans="1:9" x14ac:dyDescent="0.3">
      <c r="A2285">
        <v>205785520</v>
      </c>
      <c r="B2285" s="1">
        <v>45094</v>
      </c>
      <c r="D2285" t="s">
        <v>7</v>
      </c>
      <c r="E2285">
        <v>39</v>
      </c>
      <c r="F2285" t="s">
        <v>6</v>
      </c>
      <c r="H2285" t="s">
        <v>66</v>
      </c>
      <c r="I2285">
        <v>2023</v>
      </c>
    </row>
    <row r="2286" spans="1:9" x14ac:dyDescent="0.3">
      <c r="A2286">
        <v>154284527</v>
      </c>
      <c r="B2286" s="1">
        <v>45094</v>
      </c>
      <c r="C2286" s="1">
        <v>45131</v>
      </c>
      <c r="D2286" t="s">
        <v>7</v>
      </c>
      <c r="E2286">
        <v>39</v>
      </c>
      <c r="F2286" t="s">
        <v>6</v>
      </c>
      <c r="G2286" s="19">
        <v>37</v>
      </c>
      <c r="H2286" t="s">
        <v>66</v>
      </c>
      <c r="I2286">
        <v>2023</v>
      </c>
    </row>
    <row r="2287" spans="1:9" x14ac:dyDescent="0.3">
      <c r="A2287">
        <v>214105912</v>
      </c>
      <c r="B2287" s="1">
        <v>45094</v>
      </c>
      <c r="C2287" s="1">
        <v>45131</v>
      </c>
      <c r="D2287" t="s">
        <v>7</v>
      </c>
      <c r="E2287">
        <v>39</v>
      </c>
      <c r="F2287" t="s">
        <v>6</v>
      </c>
      <c r="G2287" s="19">
        <v>37</v>
      </c>
      <c r="H2287" t="s">
        <v>66</v>
      </c>
      <c r="I2287">
        <v>2023</v>
      </c>
    </row>
    <row r="2288" spans="1:9" x14ac:dyDescent="0.3">
      <c r="A2288">
        <v>200909190</v>
      </c>
      <c r="B2288" s="1">
        <v>45094</v>
      </c>
      <c r="C2288" s="1">
        <v>45162</v>
      </c>
      <c r="D2288" t="s">
        <v>7</v>
      </c>
      <c r="E2288">
        <v>39</v>
      </c>
      <c r="F2288" t="s">
        <v>6</v>
      </c>
      <c r="G2288" s="19">
        <v>68</v>
      </c>
      <c r="H2288" t="s">
        <v>66</v>
      </c>
      <c r="I2288">
        <v>2023</v>
      </c>
    </row>
    <row r="2289" spans="1:9" x14ac:dyDescent="0.3">
      <c r="A2289">
        <v>151633468</v>
      </c>
      <c r="B2289" s="1">
        <v>45094</v>
      </c>
      <c r="C2289" s="1">
        <v>45139</v>
      </c>
      <c r="D2289" t="s">
        <v>7</v>
      </c>
      <c r="E2289">
        <v>39</v>
      </c>
      <c r="F2289" t="s">
        <v>6</v>
      </c>
      <c r="G2289" s="19">
        <v>45</v>
      </c>
      <c r="H2289" t="s">
        <v>66</v>
      </c>
      <c r="I2289">
        <v>2023</v>
      </c>
    </row>
    <row r="2290" spans="1:9" x14ac:dyDescent="0.3">
      <c r="A2290">
        <v>207010976</v>
      </c>
      <c r="B2290" s="1">
        <v>45094</v>
      </c>
      <c r="C2290" s="1">
        <v>45162</v>
      </c>
      <c r="D2290" t="s">
        <v>7</v>
      </c>
      <c r="E2290">
        <v>39</v>
      </c>
      <c r="F2290" t="s">
        <v>6</v>
      </c>
      <c r="G2290" s="19">
        <v>68</v>
      </c>
      <c r="H2290" t="s">
        <v>66</v>
      </c>
      <c r="I2290">
        <v>2023</v>
      </c>
    </row>
    <row r="2291" spans="1:9" x14ac:dyDescent="0.3">
      <c r="A2291">
        <v>217487776</v>
      </c>
      <c r="B2291" s="1">
        <v>45094</v>
      </c>
      <c r="C2291" s="1">
        <v>45127</v>
      </c>
      <c r="D2291" t="s">
        <v>7</v>
      </c>
      <c r="E2291">
        <v>39</v>
      </c>
      <c r="F2291" t="s">
        <v>6</v>
      </c>
      <c r="G2291" s="19">
        <v>33</v>
      </c>
      <c r="H2291" t="s">
        <v>66</v>
      </c>
      <c r="I2291">
        <v>2023</v>
      </c>
    </row>
    <row r="2292" spans="1:9" x14ac:dyDescent="0.3">
      <c r="A2292">
        <v>217484551</v>
      </c>
      <c r="B2292" s="1">
        <v>45094</v>
      </c>
      <c r="C2292" s="1">
        <v>45131</v>
      </c>
      <c r="D2292" t="s">
        <v>7</v>
      </c>
      <c r="E2292">
        <v>39</v>
      </c>
      <c r="F2292" t="s">
        <v>6</v>
      </c>
      <c r="G2292" s="19">
        <v>37</v>
      </c>
      <c r="H2292" t="s">
        <v>66</v>
      </c>
      <c r="I2292">
        <v>2023</v>
      </c>
    </row>
    <row r="2293" spans="1:9" x14ac:dyDescent="0.3">
      <c r="A2293">
        <v>217498202</v>
      </c>
      <c r="B2293" s="1">
        <v>45095</v>
      </c>
      <c r="D2293" t="s">
        <v>7</v>
      </c>
      <c r="E2293">
        <v>39</v>
      </c>
      <c r="F2293" t="s">
        <v>6</v>
      </c>
      <c r="H2293" t="s">
        <v>60</v>
      </c>
      <c r="I2293">
        <v>2023</v>
      </c>
    </row>
    <row r="2294" spans="1:9" x14ac:dyDescent="0.3">
      <c r="A2294">
        <v>217234603</v>
      </c>
      <c r="B2294" s="1">
        <v>45095</v>
      </c>
      <c r="D2294" t="s">
        <v>7</v>
      </c>
      <c r="E2294">
        <v>39</v>
      </c>
      <c r="F2294" t="s">
        <v>6</v>
      </c>
      <c r="H2294" t="s">
        <v>60</v>
      </c>
      <c r="I2294">
        <v>2023</v>
      </c>
    </row>
    <row r="2295" spans="1:9" x14ac:dyDescent="0.3">
      <c r="A2295">
        <v>217264148</v>
      </c>
      <c r="B2295" s="1">
        <v>45095</v>
      </c>
      <c r="D2295" t="s">
        <v>7</v>
      </c>
      <c r="E2295">
        <v>39</v>
      </c>
      <c r="F2295" t="s">
        <v>6</v>
      </c>
      <c r="H2295" t="s">
        <v>60</v>
      </c>
      <c r="I2295">
        <v>2023</v>
      </c>
    </row>
    <row r="2296" spans="1:9" x14ac:dyDescent="0.3">
      <c r="A2296">
        <v>217513366</v>
      </c>
      <c r="B2296" s="1">
        <v>45095</v>
      </c>
      <c r="D2296" t="s">
        <v>7</v>
      </c>
      <c r="E2296">
        <v>39</v>
      </c>
      <c r="F2296" t="s">
        <v>6</v>
      </c>
      <c r="H2296" t="s">
        <v>60</v>
      </c>
      <c r="I2296">
        <v>2023</v>
      </c>
    </row>
    <row r="2297" spans="1:9" x14ac:dyDescent="0.3">
      <c r="A2297">
        <v>217503737</v>
      </c>
      <c r="B2297" s="1">
        <v>45095</v>
      </c>
      <c r="D2297" t="s">
        <v>7</v>
      </c>
      <c r="E2297">
        <v>39</v>
      </c>
      <c r="F2297" t="s">
        <v>6</v>
      </c>
      <c r="H2297" t="s">
        <v>60</v>
      </c>
      <c r="I2297">
        <v>2023</v>
      </c>
    </row>
    <row r="2298" spans="1:9" x14ac:dyDescent="0.3">
      <c r="A2298">
        <v>151540809</v>
      </c>
      <c r="B2298" s="1">
        <v>45095</v>
      </c>
      <c r="D2298" t="s">
        <v>7</v>
      </c>
      <c r="E2298">
        <v>39</v>
      </c>
      <c r="F2298" t="s">
        <v>6</v>
      </c>
      <c r="H2298" t="s">
        <v>60</v>
      </c>
      <c r="I2298">
        <v>2023</v>
      </c>
    </row>
    <row r="2299" spans="1:9" x14ac:dyDescent="0.3">
      <c r="A2299">
        <v>217526421</v>
      </c>
      <c r="B2299" s="1">
        <v>45095</v>
      </c>
      <c r="C2299" s="1">
        <v>45164</v>
      </c>
      <c r="D2299" t="s">
        <v>7</v>
      </c>
      <c r="E2299">
        <v>39</v>
      </c>
      <c r="F2299" t="s">
        <v>6</v>
      </c>
      <c r="G2299" s="19">
        <v>69</v>
      </c>
      <c r="H2299" t="s">
        <v>60</v>
      </c>
      <c r="I2299">
        <v>2023</v>
      </c>
    </row>
    <row r="2300" spans="1:9" x14ac:dyDescent="0.3">
      <c r="A2300">
        <v>217418580</v>
      </c>
      <c r="B2300" s="1">
        <v>45095</v>
      </c>
      <c r="C2300" s="1">
        <v>45121</v>
      </c>
      <c r="D2300" t="s">
        <v>7</v>
      </c>
      <c r="E2300">
        <v>39</v>
      </c>
      <c r="F2300" t="s">
        <v>6</v>
      </c>
      <c r="G2300" s="19">
        <v>26</v>
      </c>
      <c r="H2300" t="s">
        <v>60</v>
      </c>
      <c r="I2300">
        <v>2023</v>
      </c>
    </row>
    <row r="2301" spans="1:9" x14ac:dyDescent="0.3">
      <c r="A2301">
        <v>217426015</v>
      </c>
      <c r="B2301" s="1">
        <v>45096</v>
      </c>
      <c r="D2301" t="s">
        <v>7</v>
      </c>
      <c r="E2301">
        <v>39</v>
      </c>
      <c r="F2301" t="s">
        <v>6</v>
      </c>
      <c r="H2301" t="s">
        <v>61</v>
      </c>
      <c r="I2301">
        <v>2023</v>
      </c>
    </row>
    <row r="2302" spans="1:9" x14ac:dyDescent="0.3">
      <c r="A2302">
        <v>217557584</v>
      </c>
      <c r="B2302" s="1">
        <v>45096</v>
      </c>
      <c r="D2302" t="s">
        <v>7</v>
      </c>
      <c r="E2302">
        <v>39</v>
      </c>
      <c r="F2302" t="s">
        <v>6</v>
      </c>
      <c r="H2302" t="s">
        <v>61</v>
      </c>
      <c r="I2302">
        <v>2023</v>
      </c>
    </row>
    <row r="2303" spans="1:9" x14ac:dyDescent="0.3">
      <c r="A2303">
        <v>217406489</v>
      </c>
      <c r="B2303" s="1">
        <v>45096</v>
      </c>
      <c r="D2303" t="s">
        <v>7</v>
      </c>
      <c r="E2303">
        <v>39</v>
      </c>
      <c r="F2303" t="s">
        <v>6</v>
      </c>
      <c r="H2303" t="s">
        <v>61</v>
      </c>
      <c r="I2303">
        <v>2023</v>
      </c>
    </row>
    <row r="2304" spans="1:9" x14ac:dyDescent="0.3">
      <c r="A2304">
        <v>217536534</v>
      </c>
      <c r="B2304" s="1">
        <v>45096</v>
      </c>
      <c r="D2304" t="s">
        <v>7</v>
      </c>
      <c r="E2304">
        <v>39</v>
      </c>
      <c r="F2304" t="s">
        <v>6</v>
      </c>
      <c r="H2304" t="s">
        <v>61</v>
      </c>
      <c r="I2304">
        <v>2023</v>
      </c>
    </row>
    <row r="2305" spans="1:9" x14ac:dyDescent="0.3">
      <c r="A2305">
        <v>217557082</v>
      </c>
      <c r="B2305" s="1">
        <v>45096</v>
      </c>
      <c r="D2305" t="s">
        <v>7</v>
      </c>
      <c r="E2305">
        <v>39</v>
      </c>
      <c r="F2305" t="s">
        <v>6</v>
      </c>
      <c r="H2305" t="s">
        <v>61</v>
      </c>
      <c r="I2305">
        <v>2023</v>
      </c>
    </row>
    <row r="2306" spans="1:9" x14ac:dyDescent="0.3">
      <c r="A2306">
        <v>176024207</v>
      </c>
      <c r="B2306" s="1">
        <v>45096</v>
      </c>
      <c r="C2306" s="1">
        <v>45145</v>
      </c>
      <c r="D2306" t="s">
        <v>7</v>
      </c>
      <c r="E2306">
        <v>39</v>
      </c>
      <c r="F2306" t="s">
        <v>6</v>
      </c>
      <c r="G2306" s="19">
        <v>49</v>
      </c>
      <c r="H2306" t="s">
        <v>61</v>
      </c>
      <c r="I2306">
        <v>2023</v>
      </c>
    </row>
    <row r="2307" spans="1:9" x14ac:dyDescent="0.3">
      <c r="A2307">
        <v>160598122</v>
      </c>
      <c r="B2307" s="1">
        <v>45096</v>
      </c>
      <c r="C2307" s="1">
        <v>45133</v>
      </c>
      <c r="D2307" t="s">
        <v>7</v>
      </c>
      <c r="E2307">
        <v>39</v>
      </c>
      <c r="F2307" t="s">
        <v>6</v>
      </c>
      <c r="G2307" s="19">
        <v>37</v>
      </c>
      <c r="H2307" t="s">
        <v>61</v>
      </c>
      <c r="I2307">
        <v>2023</v>
      </c>
    </row>
    <row r="2308" spans="1:9" x14ac:dyDescent="0.3">
      <c r="A2308">
        <v>217378430</v>
      </c>
      <c r="B2308" s="1">
        <v>45096</v>
      </c>
      <c r="C2308" s="1">
        <v>45144</v>
      </c>
      <c r="D2308" t="s">
        <v>7</v>
      </c>
      <c r="E2308">
        <v>39</v>
      </c>
      <c r="F2308" t="s">
        <v>6</v>
      </c>
      <c r="G2308" s="19">
        <v>48</v>
      </c>
      <c r="H2308" t="s">
        <v>61</v>
      </c>
      <c r="I2308">
        <v>2023</v>
      </c>
    </row>
    <row r="2309" spans="1:9" x14ac:dyDescent="0.3">
      <c r="A2309">
        <v>193680187</v>
      </c>
      <c r="B2309" s="1">
        <v>45096</v>
      </c>
      <c r="C2309" s="1">
        <v>45097</v>
      </c>
      <c r="D2309" t="s">
        <v>7</v>
      </c>
      <c r="E2309">
        <v>39</v>
      </c>
      <c r="F2309" t="s">
        <v>6</v>
      </c>
      <c r="G2309" s="19">
        <v>1</v>
      </c>
      <c r="H2309" t="s">
        <v>61</v>
      </c>
      <c r="I2309">
        <v>2023</v>
      </c>
    </row>
    <row r="2310" spans="1:9" x14ac:dyDescent="0.3">
      <c r="A2310">
        <v>180424442</v>
      </c>
      <c r="B2310" s="1">
        <v>45096</v>
      </c>
      <c r="C2310" s="1">
        <v>45133</v>
      </c>
      <c r="D2310" t="s">
        <v>7</v>
      </c>
      <c r="E2310">
        <v>39</v>
      </c>
      <c r="F2310" t="s">
        <v>6</v>
      </c>
      <c r="G2310" s="19">
        <v>37</v>
      </c>
      <c r="H2310" t="s">
        <v>61</v>
      </c>
      <c r="I2310">
        <v>2023</v>
      </c>
    </row>
    <row r="2311" spans="1:9" x14ac:dyDescent="0.3">
      <c r="A2311">
        <v>217612796</v>
      </c>
      <c r="B2311" s="1">
        <v>45097</v>
      </c>
      <c r="D2311" t="s">
        <v>7</v>
      </c>
      <c r="E2311">
        <v>39</v>
      </c>
      <c r="F2311" t="s">
        <v>6</v>
      </c>
      <c r="H2311" t="s">
        <v>62</v>
      </c>
      <c r="I2311">
        <v>2023</v>
      </c>
    </row>
    <row r="2312" spans="1:9" x14ac:dyDescent="0.3">
      <c r="A2312">
        <v>217601263</v>
      </c>
      <c r="B2312" s="1">
        <v>45097</v>
      </c>
      <c r="D2312" t="s">
        <v>7</v>
      </c>
      <c r="E2312">
        <v>39</v>
      </c>
      <c r="F2312" t="s">
        <v>6</v>
      </c>
      <c r="H2312" t="s">
        <v>62</v>
      </c>
      <c r="I2312">
        <v>2023</v>
      </c>
    </row>
    <row r="2313" spans="1:9" x14ac:dyDescent="0.3">
      <c r="A2313">
        <v>217594148</v>
      </c>
      <c r="B2313" s="1">
        <v>45097</v>
      </c>
      <c r="D2313" t="s">
        <v>7</v>
      </c>
      <c r="E2313">
        <v>39</v>
      </c>
      <c r="F2313" t="s">
        <v>6</v>
      </c>
      <c r="H2313" t="s">
        <v>62</v>
      </c>
      <c r="I2313">
        <v>2023</v>
      </c>
    </row>
    <row r="2314" spans="1:9" x14ac:dyDescent="0.3">
      <c r="A2314">
        <v>217598396</v>
      </c>
      <c r="B2314" s="1">
        <v>45097</v>
      </c>
      <c r="D2314" t="s">
        <v>7</v>
      </c>
      <c r="E2314">
        <v>39</v>
      </c>
      <c r="F2314" t="s">
        <v>6</v>
      </c>
      <c r="H2314" t="s">
        <v>62</v>
      </c>
      <c r="I2314">
        <v>2023</v>
      </c>
    </row>
    <row r="2315" spans="1:9" x14ac:dyDescent="0.3">
      <c r="A2315">
        <v>206647130</v>
      </c>
      <c r="B2315" s="1">
        <v>45097</v>
      </c>
      <c r="D2315" t="s">
        <v>7</v>
      </c>
      <c r="E2315">
        <v>39</v>
      </c>
      <c r="F2315" t="s">
        <v>6</v>
      </c>
      <c r="H2315" t="s">
        <v>62</v>
      </c>
      <c r="I2315">
        <v>2023</v>
      </c>
    </row>
    <row r="2316" spans="1:9" x14ac:dyDescent="0.3">
      <c r="A2316">
        <v>207099222</v>
      </c>
      <c r="B2316" s="1">
        <v>45097</v>
      </c>
      <c r="D2316" t="s">
        <v>7</v>
      </c>
      <c r="E2316">
        <v>39</v>
      </c>
      <c r="F2316" t="s">
        <v>6</v>
      </c>
      <c r="H2316" t="s">
        <v>62</v>
      </c>
      <c r="I2316">
        <v>2023</v>
      </c>
    </row>
    <row r="2317" spans="1:9" x14ac:dyDescent="0.3">
      <c r="A2317">
        <v>207079318</v>
      </c>
      <c r="B2317" s="1">
        <v>45097</v>
      </c>
      <c r="D2317" t="s">
        <v>7</v>
      </c>
      <c r="E2317">
        <v>39</v>
      </c>
      <c r="F2317" t="s">
        <v>6</v>
      </c>
      <c r="H2317" t="s">
        <v>62</v>
      </c>
      <c r="I2317">
        <v>2023</v>
      </c>
    </row>
    <row r="2318" spans="1:9" x14ac:dyDescent="0.3">
      <c r="A2318">
        <v>217580362</v>
      </c>
      <c r="B2318" s="1">
        <v>45097</v>
      </c>
      <c r="D2318" t="s">
        <v>7</v>
      </c>
      <c r="E2318">
        <v>39</v>
      </c>
      <c r="F2318" t="s">
        <v>6</v>
      </c>
      <c r="H2318" t="s">
        <v>62</v>
      </c>
      <c r="I2318">
        <v>2023</v>
      </c>
    </row>
    <row r="2319" spans="1:9" x14ac:dyDescent="0.3">
      <c r="A2319">
        <v>217438678</v>
      </c>
      <c r="B2319" s="1">
        <v>45097</v>
      </c>
      <c r="D2319" t="s">
        <v>7</v>
      </c>
      <c r="E2319">
        <v>39</v>
      </c>
      <c r="F2319" t="s">
        <v>6</v>
      </c>
      <c r="H2319" t="s">
        <v>62</v>
      </c>
      <c r="I2319">
        <v>2023</v>
      </c>
    </row>
    <row r="2320" spans="1:9" x14ac:dyDescent="0.3">
      <c r="A2320">
        <v>215963364</v>
      </c>
      <c r="B2320" s="1">
        <v>45097</v>
      </c>
      <c r="C2320" s="1">
        <v>45098</v>
      </c>
      <c r="D2320" t="s">
        <v>7</v>
      </c>
      <c r="E2320">
        <v>39</v>
      </c>
      <c r="F2320" t="s">
        <v>6</v>
      </c>
      <c r="G2320" s="19">
        <v>1</v>
      </c>
      <c r="H2320" t="s">
        <v>62</v>
      </c>
      <c r="I2320">
        <v>2023</v>
      </c>
    </row>
    <row r="2321" spans="1:9" x14ac:dyDescent="0.3">
      <c r="A2321">
        <v>153876204</v>
      </c>
      <c r="B2321" s="1">
        <v>45097</v>
      </c>
      <c r="C2321" s="1">
        <v>45130</v>
      </c>
      <c r="D2321" t="s">
        <v>7</v>
      </c>
      <c r="E2321">
        <v>39</v>
      </c>
      <c r="F2321" t="s">
        <v>6</v>
      </c>
      <c r="G2321" s="19">
        <v>33</v>
      </c>
      <c r="H2321" t="s">
        <v>62</v>
      </c>
      <c r="I2321">
        <v>2023</v>
      </c>
    </row>
    <row r="2322" spans="1:9" x14ac:dyDescent="0.3">
      <c r="A2322">
        <v>153828803</v>
      </c>
      <c r="B2322" s="1">
        <v>45097</v>
      </c>
      <c r="C2322" s="1">
        <v>45099</v>
      </c>
      <c r="D2322" t="s">
        <v>7</v>
      </c>
      <c r="E2322">
        <v>39</v>
      </c>
      <c r="F2322" t="s">
        <v>6</v>
      </c>
      <c r="G2322" s="19">
        <v>2</v>
      </c>
      <c r="H2322" t="s">
        <v>62</v>
      </c>
      <c r="I2322">
        <v>2023</v>
      </c>
    </row>
    <row r="2323" spans="1:9" x14ac:dyDescent="0.3">
      <c r="A2323">
        <v>217595865</v>
      </c>
      <c r="B2323" s="1">
        <v>45097</v>
      </c>
      <c r="C2323" s="1">
        <v>45134</v>
      </c>
      <c r="D2323" t="s">
        <v>7</v>
      </c>
      <c r="E2323">
        <v>39</v>
      </c>
      <c r="F2323" t="s">
        <v>6</v>
      </c>
      <c r="G2323" s="19">
        <v>37</v>
      </c>
      <c r="H2323" t="s">
        <v>62</v>
      </c>
      <c r="I2323">
        <v>2023</v>
      </c>
    </row>
    <row r="2324" spans="1:9" x14ac:dyDescent="0.3">
      <c r="A2324">
        <v>216158153</v>
      </c>
      <c r="B2324" s="1">
        <v>45097</v>
      </c>
      <c r="C2324" s="1">
        <v>45131</v>
      </c>
      <c r="D2324" t="s">
        <v>7</v>
      </c>
      <c r="E2324">
        <v>39</v>
      </c>
      <c r="F2324" t="s">
        <v>6</v>
      </c>
      <c r="G2324" s="19">
        <v>34</v>
      </c>
      <c r="H2324" t="s">
        <v>62</v>
      </c>
      <c r="I2324">
        <v>2023</v>
      </c>
    </row>
    <row r="2325" spans="1:9" x14ac:dyDescent="0.3">
      <c r="A2325">
        <v>217548173</v>
      </c>
      <c r="B2325" s="1">
        <v>45097</v>
      </c>
      <c r="C2325" s="1">
        <v>45126</v>
      </c>
      <c r="D2325" t="s">
        <v>7</v>
      </c>
      <c r="E2325">
        <v>39</v>
      </c>
      <c r="F2325" t="s">
        <v>6</v>
      </c>
      <c r="G2325" s="19">
        <v>29</v>
      </c>
      <c r="H2325" t="s">
        <v>62</v>
      </c>
      <c r="I2325">
        <v>2023</v>
      </c>
    </row>
    <row r="2326" spans="1:9" x14ac:dyDescent="0.3">
      <c r="A2326">
        <v>217533118</v>
      </c>
      <c r="B2326" s="1">
        <v>45098</v>
      </c>
      <c r="D2326" t="s">
        <v>7</v>
      </c>
      <c r="E2326">
        <v>39</v>
      </c>
      <c r="F2326" t="s">
        <v>6</v>
      </c>
      <c r="H2326" t="s">
        <v>63</v>
      </c>
      <c r="I2326">
        <v>2023</v>
      </c>
    </row>
    <row r="2327" spans="1:9" x14ac:dyDescent="0.3">
      <c r="A2327">
        <v>205128906</v>
      </c>
      <c r="B2327" s="1">
        <v>45098</v>
      </c>
      <c r="D2327" t="s">
        <v>7</v>
      </c>
      <c r="E2327">
        <v>39</v>
      </c>
      <c r="F2327" t="s">
        <v>6</v>
      </c>
      <c r="H2327" t="s">
        <v>63</v>
      </c>
      <c r="I2327">
        <v>2023</v>
      </c>
    </row>
    <row r="2328" spans="1:9" x14ac:dyDescent="0.3">
      <c r="A2328">
        <v>205812132</v>
      </c>
      <c r="B2328" s="1">
        <v>45098</v>
      </c>
      <c r="D2328" t="s">
        <v>7</v>
      </c>
      <c r="E2328">
        <v>39</v>
      </c>
      <c r="F2328" t="s">
        <v>6</v>
      </c>
      <c r="H2328" t="s">
        <v>63</v>
      </c>
      <c r="I2328">
        <v>2023</v>
      </c>
    </row>
    <row r="2329" spans="1:9" x14ac:dyDescent="0.3">
      <c r="A2329">
        <v>216907554</v>
      </c>
      <c r="B2329" s="1">
        <v>45098</v>
      </c>
      <c r="D2329" t="s">
        <v>7</v>
      </c>
      <c r="E2329">
        <v>39</v>
      </c>
      <c r="F2329" t="s">
        <v>6</v>
      </c>
      <c r="H2329" t="s">
        <v>63</v>
      </c>
      <c r="I2329">
        <v>2023</v>
      </c>
    </row>
    <row r="2330" spans="1:9" x14ac:dyDescent="0.3">
      <c r="A2330">
        <v>215113542</v>
      </c>
      <c r="B2330" s="1">
        <v>45098</v>
      </c>
      <c r="D2330" t="s">
        <v>7</v>
      </c>
      <c r="E2330">
        <v>39</v>
      </c>
      <c r="F2330" t="s">
        <v>6</v>
      </c>
      <c r="H2330" t="s">
        <v>63</v>
      </c>
      <c r="I2330">
        <v>2023</v>
      </c>
    </row>
    <row r="2331" spans="1:9" x14ac:dyDescent="0.3">
      <c r="A2331">
        <v>204772797</v>
      </c>
      <c r="B2331" s="1">
        <v>45098</v>
      </c>
      <c r="D2331" t="s">
        <v>7</v>
      </c>
      <c r="E2331">
        <v>39</v>
      </c>
      <c r="F2331" t="s">
        <v>6</v>
      </c>
      <c r="H2331" t="s">
        <v>63</v>
      </c>
      <c r="I2331">
        <v>2023</v>
      </c>
    </row>
    <row r="2332" spans="1:9" x14ac:dyDescent="0.3">
      <c r="A2332">
        <v>217627630</v>
      </c>
      <c r="B2332" s="1">
        <v>45098</v>
      </c>
      <c r="D2332" t="s">
        <v>7</v>
      </c>
      <c r="E2332">
        <v>39</v>
      </c>
      <c r="F2332" t="s">
        <v>6</v>
      </c>
      <c r="H2332" t="s">
        <v>63</v>
      </c>
      <c r="I2332">
        <v>2023</v>
      </c>
    </row>
    <row r="2333" spans="1:9" x14ac:dyDescent="0.3">
      <c r="A2333">
        <v>217635272</v>
      </c>
      <c r="B2333" s="1">
        <v>45098</v>
      </c>
      <c r="D2333" t="s">
        <v>7</v>
      </c>
      <c r="E2333">
        <v>39</v>
      </c>
      <c r="F2333" t="s">
        <v>6</v>
      </c>
      <c r="H2333" t="s">
        <v>63</v>
      </c>
      <c r="I2333">
        <v>2023</v>
      </c>
    </row>
    <row r="2334" spans="1:9" x14ac:dyDescent="0.3">
      <c r="A2334">
        <v>217543308</v>
      </c>
      <c r="B2334" s="1">
        <v>45098</v>
      </c>
      <c r="C2334" s="1">
        <v>45099</v>
      </c>
      <c r="D2334" t="s">
        <v>7</v>
      </c>
      <c r="E2334">
        <v>39</v>
      </c>
      <c r="F2334" t="s">
        <v>6</v>
      </c>
      <c r="G2334" s="19">
        <v>1</v>
      </c>
      <c r="H2334" t="s">
        <v>63</v>
      </c>
      <c r="I2334">
        <v>2023</v>
      </c>
    </row>
    <row r="2335" spans="1:9" x14ac:dyDescent="0.3">
      <c r="A2335">
        <v>217626870</v>
      </c>
      <c r="B2335" s="1">
        <v>45098</v>
      </c>
      <c r="C2335" s="1">
        <v>45099</v>
      </c>
      <c r="D2335" t="s">
        <v>8</v>
      </c>
      <c r="E2335">
        <v>39</v>
      </c>
      <c r="F2335" t="s">
        <v>6</v>
      </c>
      <c r="G2335" s="19">
        <v>1</v>
      </c>
      <c r="H2335" t="s">
        <v>63</v>
      </c>
      <c r="I2335">
        <v>2023</v>
      </c>
    </row>
    <row r="2336" spans="1:9" x14ac:dyDescent="0.3">
      <c r="A2336">
        <v>217246912</v>
      </c>
      <c r="B2336" s="1">
        <v>45098</v>
      </c>
      <c r="C2336" s="1">
        <v>45099</v>
      </c>
      <c r="D2336" t="s">
        <v>8</v>
      </c>
      <c r="E2336">
        <v>39</v>
      </c>
      <c r="F2336" t="s">
        <v>6</v>
      </c>
      <c r="G2336" s="19">
        <v>1</v>
      </c>
      <c r="H2336" t="s">
        <v>63</v>
      </c>
      <c r="I2336">
        <v>2023</v>
      </c>
    </row>
    <row r="2337" spans="1:9" x14ac:dyDescent="0.3">
      <c r="A2337">
        <v>217223132</v>
      </c>
      <c r="B2337" s="1">
        <v>45098</v>
      </c>
      <c r="C2337" s="1">
        <v>45156</v>
      </c>
      <c r="D2337" t="s">
        <v>7</v>
      </c>
      <c r="E2337">
        <v>39</v>
      </c>
      <c r="F2337" t="s">
        <v>6</v>
      </c>
      <c r="G2337" s="19">
        <v>58</v>
      </c>
      <c r="H2337" t="s">
        <v>63</v>
      </c>
      <c r="I2337">
        <v>2023</v>
      </c>
    </row>
    <row r="2338" spans="1:9" x14ac:dyDescent="0.3">
      <c r="A2338">
        <v>217650160</v>
      </c>
      <c r="B2338" s="1">
        <v>45098</v>
      </c>
      <c r="C2338" s="1">
        <v>45148</v>
      </c>
      <c r="D2338" t="s">
        <v>7</v>
      </c>
      <c r="E2338">
        <v>39</v>
      </c>
      <c r="F2338" t="s">
        <v>6</v>
      </c>
      <c r="G2338" s="19">
        <v>50</v>
      </c>
      <c r="H2338" t="s">
        <v>63</v>
      </c>
      <c r="I2338">
        <v>2023</v>
      </c>
    </row>
    <row r="2339" spans="1:9" x14ac:dyDescent="0.3">
      <c r="A2339">
        <v>149856123</v>
      </c>
      <c r="B2339" s="1">
        <v>45098</v>
      </c>
      <c r="C2339" s="1">
        <v>45124</v>
      </c>
      <c r="D2339" t="s">
        <v>7</v>
      </c>
      <c r="E2339">
        <v>39</v>
      </c>
      <c r="F2339" t="s">
        <v>6</v>
      </c>
      <c r="G2339" s="19">
        <v>26</v>
      </c>
      <c r="H2339" t="s">
        <v>63</v>
      </c>
      <c r="I2339">
        <v>2023</v>
      </c>
    </row>
    <row r="2340" spans="1:9" x14ac:dyDescent="0.3">
      <c r="A2340">
        <v>217657148</v>
      </c>
      <c r="B2340" s="1">
        <v>45098</v>
      </c>
      <c r="C2340" s="1">
        <v>45107</v>
      </c>
      <c r="D2340" t="s">
        <v>7</v>
      </c>
      <c r="E2340">
        <v>39</v>
      </c>
      <c r="F2340" t="s">
        <v>6</v>
      </c>
      <c r="G2340" s="19">
        <v>9</v>
      </c>
      <c r="H2340" t="s">
        <v>63</v>
      </c>
      <c r="I2340">
        <v>2023</v>
      </c>
    </row>
    <row r="2341" spans="1:9" x14ac:dyDescent="0.3">
      <c r="A2341">
        <v>217386658</v>
      </c>
      <c r="B2341" s="1">
        <v>45098</v>
      </c>
      <c r="C2341" s="1">
        <v>45132</v>
      </c>
      <c r="D2341" t="s">
        <v>7</v>
      </c>
      <c r="E2341">
        <v>39</v>
      </c>
      <c r="F2341" t="s">
        <v>6</v>
      </c>
      <c r="G2341" s="19">
        <v>34</v>
      </c>
      <c r="H2341" t="s">
        <v>63</v>
      </c>
      <c r="I2341">
        <v>2023</v>
      </c>
    </row>
    <row r="2342" spans="1:9" x14ac:dyDescent="0.3">
      <c r="A2342">
        <v>202563999</v>
      </c>
      <c r="B2342" s="1">
        <v>45099</v>
      </c>
      <c r="D2342" t="s">
        <v>7</v>
      </c>
      <c r="E2342">
        <v>39</v>
      </c>
      <c r="F2342" t="s">
        <v>6</v>
      </c>
      <c r="H2342" t="s">
        <v>64</v>
      </c>
      <c r="I2342">
        <v>2023</v>
      </c>
    </row>
    <row r="2343" spans="1:9" x14ac:dyDescent="0.3">
      <c r="A2343">
        <v>137195650</v>
      </c>
      <c r="B2343" s="1">
        <v>45099</v>
      </c>
      <c r="D2343" t="s">
        <v>7</v>
      </c>
      <c r="E2343">
        <v>39</v>
      </c>
      <c r="F2343" t="s">
        <v>6</v>
      </c>
      <c r="H2343" t="s">
        <v>64</v>
      </c>
      <c r="I2343">
        <v>2023</v>
      </c>
    </row>
    <row r="2344" spans="1:9" x14ac:dyDescent="0.3">
      <c r="A2344">
        <v>138372112</v>
      </c>
      <c r="B2344" s="1">
        <v>45099</v>
      </c>
      <c r="D2344" t="s">
        <v>7</v>
      </c>
      <c r="E2344">
        <v>39</v>
      </c>
      <c r="F2344" t="s">
        <v>6</v>
      </c>
      <c r="H2344" t="s">
        <v>64</v>
      </c>
      <c r="I2344">
        <v>2023</v>
      </c>
    </row>
    <row r="2345" spans="1:9" x14ac:dyDescent="0.3">
      <c r="A2345">
        <v>217692419</v>
      </c>
      <c r="B2345" s="1">
        <v>45099</v>
      </c>
      <c r="D2345" t="s">
        <v>7</v>
      </c>
      <c r="E2345">
        <v>39</v>
      </c>
      <c r="F2345" t="s">
        <v>6</v>
      </c>
      <c r="H2345" t="s">
        <v>64</v>
      </c>
      <c r="I2345">
        <v>2023</v>
      </c>
    </row>
    <row r="2346" spans="1:9" x14ac:dyDescent="0.3">
      <c r="A2346">
        <v>217610905</v>
      </c>
      <c r="B2346" s="1">
        <v>45099</v>
      </c>
      <c r="D2346" t="s">
        <v>7</v>
      </c>
      <c r="E2346">
        <v>39</v>
      </c>
      <c r="F2346" t="s">
        <v>6</v>
      </c>
      <c r="H2346" t="s">
        <v>64</v>
      </c>
      <c r="I2346">
        <v>2023</v>
      </c>
    </row>
    <row r="2347" spans="1:9" x14ac:dyDescent="0.3">
      <c r="A2347">
        <v>217618558</v>
      </c>
      <c r="B2347" s="1">
        <v>45099</v>
      </c>
      <c r="D2347" t="s">
        <v>7</v>
      </c>
      <c r="E2347">
        <v>39</v>
      </c>
      <c r="F2347" t="s">
        <v>6</v>
      </c>
      <c r="H2347" t="s">
        <v>64</v>
      </c>
      <c r="I2347">
        <v>2023</v>
      </c>
    </row>
    <row r="2348" spans="1:9" x14ac:dyDescent="0.3">
      <c r="A2348">
        <v>190490555</v>
      </c>
      <c r="B2348" s="1">
        <v>45099</v>
      </c>
      <c r="D2348" t="s">
        <v>7</v>
      </c>
      <c r="E2348">
        <v>39</v>
      </c>
      <c r="F2348" t="s">
        <v>6</v>
      </c>
      <c r="H2348" t="s">
        <v>64</v>
      </c>
      <c r="I2348">
        <v>2023</v>
      </c>
    </row>
    <row r="2349" spans="1:9" x14ac:dyDescent="0.3">
      <c r="A2349">
        <v>122169020</v>
      </c>
      <c r="B2349" s="1">
        <v>45099</v>
      </c>
      <c r="C2349" s="1">
        <v>45100</v>
      </c>
      <c r="D2349" t="s">
        <v>7</v>
      </c>
      <c r="E2349">
        <v>39</v>
      </c>
      <c r="F2349" t="s">
        <v>6</v>
      </c>
      <c r="G2349" s="19">
        <v>1</v>
      </c>
      <c r="H2349" t="s">
        <v>64</v>
      </c>
      <c r="I2349">
        <v>2023</v>
      </c>
    </row>
    <row r="2350" spans="1:9" x14ac:dyDescent="0.3">
      <c r="A2350">
        <v>217628239</v>
      </c>
      <c r="B2350" s="1">
        <v>45099</v>
      </c>
      <c r="C2350" s="1">
        <v>45100</v>
      </c>
      <c r="D2350" t="s">
        <v>8</v>
      </c>
      <c r="E2350">
        <v>39</v>
      </c>
      <c r="F2350" t="s">
        <v>6</v>
      </c>
      <c r="G2350" s="19">
        <v>1</v>
      </c>
      <c r="H2350" t="s">
        <v>64</v>
      </c>
      <c r="I2350">
        <v>2023</v>
      </c>
    </row>
    <row r="2351" spans="1:9" x14ac:dyDescent="0.3">
      <c r="A2351">
        <v>148062219</v>
      </c>
      <c r="B2351" s="1">
        <v>45099</v>
      </c>
      <c r="C2351" s="1">
        <v>45126</v>
      </c>
      <c r="D2351" t="s">
        <v>7</v>
      </c>
      <c r="E2351">
        <v>39</v>
      </c>
      <c r="F2351" t="s">
        <v>6</v>
      </c>
      <c r="G2351" s="19">
        <v>27</v>
      </c>
      <c r="H2351" t="s">
        <v>64</v>
      </c>
      <c r="I2351">
        <v>2023</v>
      </c>
    </row>
    <row r="2352" spans="1:9" x14ac:dyDescent="0.3">
      <c r="A2352">
        <v>131505988</v>
      </c>
      <c r="B2352" s="1">
        <v>45099</v>
      </c>
      <c r="C2352" s="1">
        <v>45113</v>
      </c>
      <c r="D2352" t="s">
        <v>7</v>
      </c>
      <c r="E2352">
        <v>39</v>
      </c>
      <c r="F2352" t="s">
        <v>6</v>
      </c>
      <c r="G2352" s="19">
        <v>14</v>
      </c>
      <c r="H2352" t="s">
        <v>64</v>
      </c>
      <c r="I2352">
        <v>2023</v>
      </c>
    </row>
    <row r="2353" spans="1:9" x14ac:dyDescent="0.3">
      <c r="A2353">
        <v>215489398</v>
      </c>
      <c r="B2353" s="1">
        <v>45099</v>
      </c>
      <c r="C2353" s="1">
        <v>45099</v>
      </c>
      <c r="D2353" t="s">
        <v>7</v>
      </c>
      <c r="E2353">
        <v>39</v>
      </c>
      <c r="F2353" t="s">
        <v>6</v>
      </c>
      <c r="G2353" s="19">
        <v>0</v>
      </c>
      <c r="H2353" t="s">
        <v>64</v>
      </c>
      <c r="I2353">
        <v>2023</v>
      </c>
    </row>
    <row r="2354" spans="1:9" x14ac:dyDescent="0.3">
      <c r="A2354">
        <v>195285936</v>
      </c>
      <c r="B2354" s="1">
        <v>45099</v>
      </c>
      <c r="C2354" s="1">
        <v>45156</v>
      </c>
      <c r="D2354" t="s">
        <v>7</v>
      </c>
      <c r="E2354">
        <v>39</v>
      </c>
      <c r="F2354" t="s">
        <v>6</v>
      </c>
      <c r="G2354" s="19">
        <v>57</v>
      </c>
      <c r="H2354" t="s">
        <v>64</v>
      </c>
      <c r="I2354">
        <v>2023</v>
      </c>
    </row>
    <row r="2355" spans="1:9" x14ac:dyDescent="0.3">
      <c r="A2355">
        <v>217725764</v>
      </c>
      <c r="B2355" s="1">
        <v>45099</v>
      </c>
      <c r="C2355" s="1">
        <v>45104</v>
      </c>
      <c r="D2355" t="s">
        <v>7</v>
      </c>
      <c r="E2355">
        <v>39</v>
      </c>
      <c r="F2355" t="s">
        <v>6</v>
      </c>
      <c r="G2355" s="19">
        <v>5</v>
      </c>
      <c r="H2355" t="s">
        <v>64</v>
      </c>
      <c r="I2355">
        <v>2023</v>
      </c>
    </row>
    <row r="2356" spans="1:9" x14ac:dyDescent="0.3">
      <c r="A2356">
        <v>217730944</v>
      </c>
      <c r="B2356" s="1">
        <v>45099</v>
      </c>
      <c r="C2356" s="1">
        <v>45113</v>
      </c>
      <c r="D2356" t="s">
        <v>7</v>
      </c>
      <c r="E2356">
        <v>39</v>
      </c>
      <c r="F2356" t="s">
        <v>6</v>
      </c>
      <c r="G2356" s="19">
        <v>14</v>
      </c>
      <c r="H2356" t="s">
        <v>64</v>
      </c>
      <c r="I2356">
        <v>2023</v>
      </c>
    </row>
    <row r="2357" spans="1:9" x14ac:dyDescent="0.3">
      <c r="A2357">
        <v>205548571</v>
      </c>
      <c r="B2357" s="1">
        <v>45100</v>
      </c>
      <c r="D2357" t="s">
        <v>7</v>
      </c>
      <c r="E2357">
        <v>39</v>
      </c>
      <c r="F2357" t="s">
        <v>6</v>
      </c>
      <c r="H2357" t="s">
        <v>65</v>
      </c>
      <c r="I2357">
        <v>2023</v>
      </c>
    </row>
    <row r="2358" spans="1:9" x14ac:dyDescent="0.3">
      <c r="A2358">
        <v>188085249</v>
      </c>
      <c r="B2358" s="1">
        <v>45100</v>
      </c>
      <c r="D2358" t="s">
        <v>7</v>
      </c>
      <c r="E2358">
        <v>39</v>
      </c>
      <c r="F2358" t="s">
        <v>6</v>
      </c>
      <c r="H2358" t="s">
        <v>65</v>
      </c>
      <c r="I2358">
        <v>2023</v>
      </c>
    </row>
    <row r="2359" spans="1:9" x14ac:dyDescent="0.3">
      <c r="A2359">
        <v>206697535</v>
      </c>
      <c r="B2359" s="1">
        <v>45100</v>
      </c>
      <c r="D2359" t="s">
        <v>7</v>
      </c>
      <c r="E2359">
        <v>39</v>
      </c>
      <c r="F2359" t="s">
        <v>6</v>
      </c>
      <c r="H2359" t="s">
        <v>65</v>
      </c>
      <c r="I2359">
        <v>2023</v>
      </c>
    </row>
    <row r="2360" spans="1:9" x14ac:dyDescent="0.3">
      <c r="A2360">
        <v>152705871</v>
      </c>
      <c r="B2360" s="1">
        <v>45100</v>
      </c>
      <c r="D2360" t="s">
        <v>7</v>
      </c>
      <c r="E2360">
        <v>39</v>
      </c>
      <c r="F2360" t="s">
        <v>6</v>
      </c>
      <c r="H2360" t="s">
        <v>65</v>
      </c>
      <c r="I2360">
        <v>2023</v>
      </c>
    </row>
    <row r="2361" spans="1:9" x14ac:dyDescent="0.3">
      <c r="A2361">
        <v>216139584</v>
      </c>
      <c r="B2361" s="1">
        <v>45100</v>
      </c>
      <c r="D2361" t="s">
        <v>7</v>
      </c>
      <c r="E2361">
        <v>39</v>
      </c>
      <c r="F2361" t="s">
        <v>6</v>
      </c>
      <c r="H2361" t="s">
        <v>65</v>
      </c>
      <c r="I2361">
        <v>2023</v>
      </c>
    </row>
    <row r="2362" spans="1:9" x14ac:dyDescent="0.3">
      <c r="A2362">
        <v>127716285</v>
      </c>
      <c r="B2362" s="1">
        <v>45100</v>
      </c>
      <c r="D2362" t="s">
        <v>7</v>
      </c>
      <c r="E2362">
        <v>39</v>
      </c>
      <c r="F2362" t="s">
        <v>6</v>
      </c>
      <c r="H2362" t="s">
        <v>65</v>
      </c>
      <c r="I2362">
        <v>2023</v>
      </c>
    </row>
    <row r="2363" spans="1:9" x14ac:dyDescent="0.3">
      <c r="A2363">
        <v>138535334</v>
      </c>
      <c r="B2363" s="1">
        <v>45100</v>
      </c>
      <c r="C2363" s="1">
        <v>45161</v>
      </c>
      <c r="D2363" t="s">
        <v>7</v>
      </c>
      <c r="E2363">
        <v>39</v>
      </c>
      <c r="F2363" t="s">
        <v>6</v>
      </c>
      <c r="G2363" s="19">
        <v>61</v>
      </c>
      <c r="H2363" t="s">
        <v>65</v>
      </c>
      <c r="I2363">
        <v>2023</v>
      </c>
    </row>
    <row r="2364" spans="1:9" x14ac:dyDescent="0.3">
      <c r="A2364">
        <v>205869717</v>
      </c>
      <c r="B2364" s="1">
        <v>45100</v>
      </c>
      <c r="C2364" s="1">
        <v>45168</v>
      </c>
      <c r="D2364" t="s">
        <v>7</v>
      </c>
      <c r="E2364">
        <v>39</v>
      </c>
      <c r="F2364" t="s">
        <v>6</v>
      </c>
      <c r="G2364" s="19">
        <v>68</v>
      </c>
      <c r="H2364" t="s">
        <v>65</v>
      </c>
      <c r="I2364">
        <v>2023</v>
      </c>
    </row>
    <row r="2365" spans="1:9" x14ac:dyDescent="0.3">
      <c r="A2365">
        <v>204985013</v>
      </c>
      <c r="B2365" s="1">
        <v>45100</v>
      </c>
      <c r="C2365" s="1">
        <v>45150</v>
      </c>
      <c r="D2365" t="s">
        <v>7</v>
      </c>
      <c r="E2365">
        <v>39</v>
      </c>
      <c r="F2365" t="s">
        <v>6</v>
      </c>
      <c r="G2365" s="19">
        <v>50</v>
      </c>
      <c r="H2365" t="s">
        <v>65</v>
      </c>
      <c r="I2365">
        <v>2023</v>
      </c>
    </row>
    <row r="2366" spans="1:9" x14ac:dyDescent="0.3">
      <c r="A2366">
        <v>217763600</v>
      </c>
      <c r="B2366" s="1">
        <v>45101</v>
      </c>
      <c r="D2366" t="s">
        <v>7</v>
      </c>
      <c r="E2366">
        <v>39</v>
      </c>
      <c r="F2366" t="s">
        <v>6</v>
      </c>
      <c r="H2366" t="s">
        <v>66</v>
      </c>
      <c r="I2366">
        <v>2023</v>
      </c>
    </row>
    <row r="2367" spans="1:9" x14ac:dyDescent="0.3">
      <c r="A2367">
        <v>217808731</v>
      </c>
      <c r="B2367" s="1">
        <v>45101</v>
      </c>
      <c r="C2367" s="1">
        <v>45102</v>
      </c>
      <c r="D2367" t="s">
        <v>8</v>
      </c>
      <c r="E2367">
        <v>39</v>
      </c>
      <c r="F2367" t="s">
        <v>6</v>
      </c>
      <c r="G2367" s="19">
        <v>1</v>
      </c>
      <c r="H2367" t="s">
        <v>66</v>
      </c>
      <c r="I2367">
        <v>2023</v>
      </c>
    </row>
    <row r="2368" spans="1:9" x14ac:dyDescent="0.3">
      <c r="A2368">
        <v>217822232</v>
      </c>
      <c r="B2368" s="1">
        <v>45101</v>
      </c>
      <c r="C2368" s="1">
        <v>45143</v>
      </c>
      <c r="D2368" t="s">
        <v>7</v>
      </c>
      <c r="E2368">
        <v>39</v>
      </c>
      <c r="F2368" t="s">
        <v>6</v>
      </c>
      <c r="G2368" s="19">
        <v>42</v>
      </c>
      <c r="H2368" t="s">
        <v>66</v>
      </c>
      <c r="I2368">
        <v>2023</v>
      </c>
    </row>
    <row r="2369" spans="1:9" x14ac:dyDescent="0.3">
      <c r="A2369">
        <v>217718093</v>
      </c>
      <c r="B2369" s="1">
        <v>45102</v>
      </c>
      <c r="D2369" t="s">
        <v>7</v>
      </c>
      <c r="E2369">
        <v>39</v>
      </c>
      <c r="F2369" t="s">
        <v>6</v>
      </c>
      <c r="H2369" t="s">
        <v>60</v>
      </c>
      <c r="I2369">
        <v>2023</v>
      </c>
    </row>
    <row r="2370" spans="1:9" x14ac:dyDescent="0.3">
      <c r="A2370">
        <v>217555660</v>
      </c>
      <c r="B2370" s="1">
        <v>45102</v>
      </c>
      <c r="D2370" t="s">
        <v>7</v>
      </c>
      <c r="E2370">
        <v>39</v>
      </c>
      <c r="F2370" t="s">
        <v>6</v>
      </c>
      <c r="H2370" t="s">
        <v>60</v>
      </c>
      <c r="I2370">
        <v>2023</v>
      </c>
    </row>
    <row r="2371" spans="1:9" x14ac:dyDescent="0.3">
      <c r="A2371">
        <v>154535908</v>
      </c>
      <c r="B2371" s="1">
        <v>45102</v>
      </c>
      <c r="D2371" t="s">
        <v>7</v>
      </c>
      <c r="E2371">
        <v>39</v>
      </c>
      <c r="F2371" t="s">
        <v>6</v>
      </c>
      <c r="H2371" t="s">
        <v>60</v>
      </c>
      <c r="I2371">
        <v>2023</v>
      </c>
    </row>
    <row r="2372" spans="1:9" x14ac:dyDescent="0.3">
      <c r="A2372">
        <v>217554744</v>
      </c>
      <c r="B2372" s="1">
        <v>45102</v>
      </c>
      <c r="C2372" s="1">
        <v>45139</v>
      </c>
      <c r="D2372" t="s">
        <v>7</v>
      </c>
      <c r="E2372">
        <v>39</v>
      </c>
      <c r="F2372" t="s">
        <v>6</v>
      </c>
      <c r="G2372" s="19">
        <v>37</v>
      </c>
      <c r="H2372" t="s">
        <v>60</v>
      </c>
      <c r="I2372">
        <v>2023</v>
      </c>
    </row>
    <row r="2373" spans="1:9" x14ac:dyDescent="0.3">
      <c r="A2373">
        <v>217877324</v>
      </c>
      <c r="B2373" s="1">
        <v>45102</v>
      </c>
      <c r="C2373" s="1">
        <v>45102</v>
      </c>
      <c r="D2373" t="s">
        <v>7</v>
      </c>
      <c r="E2373">
        <v>39</v>
      </c>
      <c r="F2373" t="s">
        <v>6</v>
      </c>
      <c r="G2373" s="19">
        <v>0</v>
      </c>
      <c r="H2373" t="s">
        <v>60</v>
      </c>
      <c r="I2373">
        <v>2023</v>
      </c>
    </row>
    <row r="2374" spans="1:9" x14ac:dyDescent="0.3">
      <c r="A2374">
        <v>147765298</v>
      </c>
      <c r="B2374" s="1">
        <v>45103</v>
      </c>
      <c r="D2374" t="s">
        <v>7</v>
      </c>
      <c r="E2374">
        <v>39</v>
      </c>
      <c r="F2374" t="s">
        <v>6</v>
      </c>
      <c r="H2374" t="s">
        <v>61</v>
      </c>
      <c r="I2374">
        <v>2023</v>
      </c>
    </row>
    <row r="2375" spans="1:9" x14ac:dyDescent="0.3">
      <c r="A2375">
        <v>217901196</v>
      </c>
      <c r="B2375" s="1">
        <v>45103</v>
      </c>
      <c r="D2375" t="s">
        <v>7</v>
      </c>
      <c r="E2375">
        <v>39</v>
      </c>
      <c r="F2375" t="s">
        <v>6</v>
      </c>
      <c r="H2375" t="s">
        <v>61</v>
      </c>
      <c r="I2375">
        <v>2023</v>
      </c>
    </row>
    <row r="2376" spans="1:9" x14ac:dyDescent="0.3">
      <c r="A2376">
        <v>217266939</v>
      </c>
      <c r="B2376" s="1">
        <v>45103</v>
      </c>
      <c r="D2376" t="s">
        <v>7</v>
      </c>
      <c r="E2376">
        <v>39</v>
      </c>
      <c r="F2376" t="s">
        <v>6</v>
      </c>
      <c r="H2376" t="s">
        <v>61</v>
      </c>
      <c r="I2376">
        <v>2023</v>
      </c>
    </row>
    <row r="2377" spans="1:9" x14ac:dyDescent="0.3">
      <c r="A2377">
        <v>204908076</v>
      </c>
      <c r="B2377" s="1">
        <v>45103</v>
      </c>
      <c r="D2377" t="s">
        <v>7</v>
      </c>
      <c r="E2377">
        <v>39</v>
      </c>
      <c r="F2377" t="s">
        <v>6</v>
      </c>
      <c r="H2377" t="s">
        <v>61</v>
      </c>
      <c r="I2377">
        <v>2023</v>
      </c>
    </row>
    <row r="2378" spans="1:9" x14ac:dyDescent="0.3">
      <c r="A2378">
        <v>217698784</v>
      </c>
      <c r="B2378" s="1">
        <v>45103</v>
      </c>
      <c r="D2378" t="s">
        <v>7</v>
      </c>
      <c r="E2378">
        <v>39</v>
      </c>
      <c r="F2378" t="s">
        <v>6</v>
      </c>
      <c r="H2378" t="s">
        <v>61</v>
      </c>
      <c r="I2378">
        <v>2023</v>
      </c>
    </row>
    <row r="2379" spans="1:9" x14ac:dyDescent="0.3">
      <c r="A2379">
        <v>217909024</v>
      </c>
      <c r="B2379" s="1">
        <v>45103</v>
      </c>
      <c r="D2379" t="s">
        <v>7</v>
      </c>
      <c r="E2379">
        <v>39</v>
      </c>
      <c r="F2379" t="s">
        <v>6</v>
      </c>
      <c r="H2379" t="s">
        <v>61</v>
      </c>
      <c r="I2379">
        <v>2023</v>
      </c>
    </row>
    <row r="2380" spans="1:9" x14ac:dyDescent="0.3">
      <c r="A2380">
        <v>201498671</v>
      </c>
      <c r="B2380" s="1">
        <v>45103</v>
      </c>
      <c r="D2380" t="s">
        <v>7</v>
      </c>
      <c r="E2380">
        <v>39</v>
      </c>
      <c r="F2380" t="s">
        <v>6</v>
      </c>
      <c r="H2380" t="s">
        <v>61</v>
      </c>
      <c r="I2380">
        <v>2023</v>
      </c>
    </row>
    <row r="2381" spans="1:9" x14ac:dyDescent="0.3">
      <c r="A2381">
        <v>217902650</v>
      </c>
      <c r="B2381" s="1">
        <v>45103</v>
      </c>
      <c r="D2381" t="s">
        <v>7</v>
      </c>
      <c r="E2381">
        <v>39</v>
      </c>
      <c r="F2381" t="s">
        <v>6</v>
      </c>
      <c r="H2381" t="s">
        <v>61</v>
      </c>
      <c r="I2381">
        <v>2023</v>
      </c>
    </row>
    <row r="2382" spans="1:9" x14ac:dyDescent="0.3">
      <c r="A2382">
        <v>217896282</v>
      </c>
      <c r="B2382" s="1">
        <v>45103</v>
      </c>
      <c r="D2382" t="s">
        <v>7</v>
      </c>
      <c r="E2382">
        <v>39</v>
      </c>
      <c r="F2382" t="s">
        <v>6</v>
      </c>
      <c r="H2382" t="s">
        <v>61</v>
      </c>
      <c r="I2382">
        <v>2023</v>
      </c>
    </row>
    <row r="2383" spans="1:9" x14ac:dyDescent="0.3">
      <c r="A2383">
        <v>217337901</v>
      </c>
      <c r="B2383" s="1">
        <v>45103</v>
      </c>
      <c r="D2383" t="s">
        <v>7</v>
      </c>
      <c r="E2383">
        <v>39</v>
      </c>
      <c r="F2383" t="s">
        <v>6</v>
      </c>
      <c r="H2383" t="s">
        <v>61</v>
      </c>
      <c r="I2383">
        <v>2023</v>
      </c>
    </row>
    <row r="2384" spans="1:9" x14ac:dyDescent="0.3">
      <c r="A2384">
        <v>217477535</v>
      </c>
      <c r="B2384" s="1">
        <v>45103</v>
      </c>
      <c r="D2384" t="s">
        <v>7</v>
      </c>
      <c r="E2384">
        <v>39</v>
      </c>
      <c r="F2384" t="s">
        <v>6</v>
      </c>
      <c r="H2384" t="s">
        <v>61</v>
      </c>
      <c r="I2384">
        <v>2023</v>
      </c>
    </row>
    <row r="2385" spans="1:9" x14ac:dyDescent="0.3">
      <c r="A2385">
        <v>217885621</v>
      </c>
      <c r="B2385" s="1">
        <v>45103</v>
      </c>
      <c r="D2385" t="s">
        <v>7</v>
      </c>
      <c r="E2385">
        <v>39</v>
      </c>
      <c r="F2385" t="s">
        <v>6</v>
      </c>
      <c r="H2385" t="s">
        <v>61</v>
      </c>
      <c r="I2385">
        <v>2023</v>
      </c>
    </row>
    <row r="2386" spans="1:9" x14ac:dyDescent="0.3">
      <c r="A2386">
        <v>217714764</v>
      </c>
      <c r="B2386" s="1">
        <v>45103</v>
      </c>
      <c r="D2386" t="s">
        <v>7</v>
      </c>
      <c r="E2386">
        <v>39</v>
      </c>
      <c r="F2386" t="s">
        <v>6</v>
      </c>
      <c r="H2386" t="s">
        <v>61</v>
      </c>
      <c r="I2386">
        <v>2023</v>
      </c>
    </row>
    <row r="2387" spans="1:9" x14ac:dyDescent="0.3">
      <c r="A2387">
        <v>217335548</v>
      </c>
      <c r="B2387" s="1">
        <v>45103</v>
      </c>
      <c r="C2387" s="1">
        <v>45175</v>
      </c>
      <c r="D2387" t="s">
        <v>7</v>
      </c>
      <c r="E2387">
        <v>39</v>
      </c>
      <c r="F2387" t="s">
        <v>6</v>
      </c>
      <c r="G2387" s="19">
        <v>72</v>
      </c>
      <c r="H2387" t="s">
        <v>61</v>
      </c>
      <c r="I2387">
        <v>2023</v>
      </c>
    </row>
    <row r="2388" spans="1:9" x14ac:dyDescent="0.3">
      <c r="A2388">
        <v>129747676</v>
      </c>
      <c r="B2388" s="1">
        <v>45103</v>
      </c>
      <c r="C2388" s="1">
        <v>45104</v>
      </c>
      <c r="D2388" t="s">
        <v>7</v>
      </c>
      <c r="E2388">
        <v>39</v>
      </c>
      <c r="F2388" t="s">
        <v>6</v>
      </c>
      <c r="G2388" s="19">
        <v>1</v>
      </c>
      <c r="H2388" t="s">
        <v>61</v>
      </c>
      <c r="I2388">
        <v>2023</v>
      </c>
    </row>
    <row r="2389" spans="1:9" x14ac:dyDescent="0.3">
      <c r="A2389">
        <v>217846698</v>
      </c>
      <c r="B2389" s="1">
        <v>45103</v>
      </c>
      <c r="C2389" s="1">
        <v>45104</v>
      </c>
      <c r="D2389" t="s">
        <v>8</v>
      </c>
      <c r="E2389">
        <v>39</v>
      </c>
      <c r="F2389" t="s">
        <v>6</v>
      </c>
      <c r="G2389" s="19">
        <v>1</v>
      </c>
      <c r="H2389" t="s">
        <v>61</v>
      </c>
      <c r="I2389">
        <v>2023</v>
      </c>
    </row>
    <row r="2390" spans="1:9" x14ac:dyDescent="0.3">
      <c r="A2390">
        <v>217965791</v>
      </c>
      <c r="B2390" s="1">
        <v>45104</v>
      </c>
      <c r="D2390" t="s">
        <v>7</v>
      </c>
      <c r="E2390">
        <v>39</v>
      </c>
      <c r="F2390" t="s">
        <v>6</v>
      </c>
      <c r="H2390" t="s">
        <v>62</v>
      </c>
      <c r="I2390">
        <v>2023</v>
      </c>
    </row>
    <row r="2391" spans="1:9" x14ac:dyDescent="0.3">
      <c r="A2391">
        <v>217851124</v>
      </c>
      <c r="B2391" s="1">
        <v>45104</v>
      </c>
      <c r="D2391" t="s">
        <v>7</v>
      </c>
      <c r="E2391">
        <v>39</v>
      </c>
      <c r="F2391" t="s">
        <v>6</v>
      </c>
      <c r="H2391" t="s">
        <v>62</v>
      </c>
      <c r="I2391">
        <v>2023</v>
      </c>
    </row>
    <row r="2392" spans="1:9" x14ac:dyDescent="0.3">
      <c r="A2392">
        <v>217861903</v>
      </c>
      <c r="B2392" s="1">
        <v>45104</v>
      </c>
      <c r="D2392" t="s">
        <v>7</v>
      </c>
      <c r="E2392">
        <v>39</v>
      </c>
      <c r="F2392" t="s">
        <v>6</v>
      </c>
      <c r="H2392" t="s">
        <v>62</v>
      </c>
      <c r="I2392">
        <v>2023</v>
      </c>
    </row>
    <row r="2393" spans="1:9" x14ac:dyDescent="0.3">
      <c r="A2393">
        <v>217660423</v>
      </c>
      <c r="B2393" s="1">
        <v>45104</v>
      </c>
      <c r="D2393" t="s">
        <v>7</v>
      </c>
      <c r="E2393">
        <v>39</v>
      </c>
      <c r="F2393" t="s">
        <v>6</v>
      </c>
      <c r="H2393" t="s">
        <v>62</v>
      </c>
      <c r="I2393">
        <v>2023</v>
      </c>
    </row>
    <row r="2394" spans="1:9" x14ac:dyDescent="0.3">
      <c r="A2394">
        <v>217814342</v>
      </c>
      <c r="B2394" s="1">
        <v>45104</v>
      </c>
      <c r="D2394" t="s">
        <v>7</v>
      </c>
      <c r="E2394">
        <v>39</v>
      </c>
      <c r="F2394" t="s">
        <v>6</v>
      </c>
      <c r="H2394" t="s">
        <v>62</v>
      </c>
      <c r="I2394">
        <v>2023</v>
      </c>
    </row>
    <row r="2395" spans="1:9" x14ac:dyDescent="0.3">
      <c r="A2395">
        <v>157548765</v>
      </c>
      <c r="B2395" s="1">
        <v>45104</v>
      </c>
      <c r="C2395" s="1">
        <v>45105</v>
      </c>
      <c r="D2395" t="s">
        <v>8</v>
      </c>
      <c r="E2395">
        <v>39</v>
      </c>
      <c r="F2395" t="s">
        <v>6</v>
      </c>
      <c r="G2395" s="19">
        <v>1</v>
      </c>
      <c r="H2395" t="s">
        <v>62</v>
      </c>
      <c r="I2395">
        <v>2023</v>
      </c>
    </row>
    <row r="2396" spans="1:9" x14ac:dyDescent="0.3">
      <c r="A2396">
        <v>217934288</v>
      </c>
      <c r="B2396" s="1">
        <v>45104</v>
      </c>
      <c r="C2396" s="1">
        <v>45105</v>
      </c>
      <c r="D2396" t="s">
        <v>8</v>
      </c>
      <c r="E2396">
        <v>39</v>
      </c>
      <c r="F2396" t="s">
        <v>6</v>
      </c>
      <c r="G2396" s="19">
        <v>1</v>
      </c>
      <c r="H2396" t="s">
        <v>62</v>
      </c>
      <c r="I2396">
        <v>2023</v>
      </c>
    </row>
    <row r="2397" spans="1:9" x14ac:dyDescent="0.3">
      <c r="A2397">
        <v>217855786</v>
      </c>
      <c r="B2397" s="1">
        <v>45104</v>
      </c>
      <c r="C2397" s="1">
        <v>45105</v>
      </c>
      <c r="D2397" t="s">
        <v>8</v>
      </c>
      <c r="E2397">
        <v>39</v>
      </c>
      <c r="F2397" t="s">
        <v>6</v>
      </c>
      <c r="G2397" s="19">
        <v>1</v>
      </c>
      <c r="H2397" t="s">
        <v>62</v>
      </c>
      <c r="I2397">
        <v>2023</v>
      </c>
    </row>
    <row r="2398" spans="1:9" x14ac:dyDescent="0.3">
      <c r="A2398">
        <v>131753677</v>
      </c>
      <c r="B2398" s="1">
        <v>45104</v>
      </c>
      <c r="C2398" s="1">
        <v>45153</v>
      </c>
      <c r="D2398" t="s">
        <v>7</v>
      </c>
      <c r="E2398">
        <v>39</v>
      </c>
      <c r="F2398" t="s">
        <v>6</v>
      </c>
      <c r="G2398" s="19">
        <v>49</v>
      </c>
      <c r="H2398" t="s">
        <v>62</v>
      </c>
      <c r="I2398">
        <v>2023</v>
      </c>
    </row>
    <row r="2399" spans="1:9" x14ac:dyDescent="0.3">
      <c r="A2399">
        <v>215963364</v>
      </c>
      <c r="B2399" s="1">
        <v>45104</v>
      </c>
      <c r="C2399" s="1">
        <v>45172</v>
      </c>
      <c r="D2399" t="s">
        <v>7</v>
      </c>
      <c r="E2399">
        <v>39</v>
      </c>
      <c r="F2399" t="s">
        <v>6</v>
      </c>
      <c r="G2399" s="19">
        <v>68</v>
      </c>
      <c r="H2399" t="s">
        <v>62</v>
      </c>
      <c r="I2399">
        <v>2023</v>
      </c>
    </row>
    <row r="2400" spans="1:9" x14ac:dyDescent="0.3">
      <c r="A2400">
        <v>217971206</v>
      </c>
      <c r="B2400" s="1">
        <v>45104</v>
      </c>
      <c r="C2400" s="1">
        <v>45125</v>
      </c>
      <c r="D2400" t="s">
        <v>7</v>
      </c>
      <c r="E2400">
        <v>39</v>
      </c>
      <c r="F2400" t="s">
        <v>6</v>
      </c>
      <c r="G2400" s="19">
        <v>21</v>
      </c>
      <c r="H2400" t="s">
        <v>62</v>
      </c>
      <c r="I2400">
        <v>2023</v>
      </c>
    </row>
    <row r="2401" spans="1:9" x14ac:dyDescent="0.3">
      <c r="A2401">
        <v>217943053</v>
      </c>
      <c r="B2401" s="1">
        <v>45104</v>
      </c>
      <c r="C2401" s="1">
        <v>45124</v>
      </c>
      <c r="D2401" t="s">
        <v>7</v>
      </c>
      <c r="E2401">
        <v>39</v>
      </c>
      <c r="F2401" t="s">
        <v>6</v>
      </c>
      <c r="G2401" s="19">
        <v>20</v>
      </c>
      <c r="H2401" t="s">
        <v>62</v>
      </c>
      <c r="I2401">
        <v>2023</v>
      </c>
    </row>
    <row r="2402" spans="1:9" x14ac:dyDescent="0.3">
      <c r="A2402">
        <v>218004764</v>
      </c>
      <c r="B2402" s="1">
        <v>45105</v>
      </c>
      <c r="D2402" t="s">
        <v>7</v>
      </c>
      <c r="E2402">
        <v>39</v>
      </c>
      <c r="F2402" t="s">
        <v>6</v>
      </c>
      <c r="H2402" t="s">
        <v>63</v>
      </c>
      <c r="I2402">
        <v>2023</v>
      </c>
    </row>
    <row r="2403" spans="1:9" x14ac:dyDescent="0.3">
      <c r="A2403">
        <v>217768772</v>
      </c>
      <c r="B2403" s="1">
        <v>45105</v>
      </c>
      <c r="D2403" t="s">
        <v>7</v>
      </c>
      <c r="E2403">
        <v>39</v>
      </c>
      <c r="F2403" t="s">
        <v>6</v>
      </c>
      <c r="H2403" t="s">
        <v>63</v>
      </c>
      <c r="I2403">
        <v>2023</v>
      </c>
    </row>
    <row r="2404" spans="1:9" x14ac:dyDescent="0.3">
      <c r="A2404">
        <v>216775344</v>
      </c>
      <c r="B2404" s="1">
        <v>45105</v>
      </c>
      <c r="D2404" t="s">
        <v>7</v>
      </c>
      <c r="E2404">
        <v>39</v>
      </c>
      <c r="F2404" t="s">
        <v>6</v>
      </c>
      <c r="H2404" t="s">
        <v>63</v>
      </c>
      <c r="I2404">
        <v>2023</v>
      </c>
    </row>
    <row r="2405" spans="1:9" x14ac:dyDescent="0.3">
      <c r="A2405">
        <v>135364787</v>
      </c>
      <c r="B2405" s="1">
        <v>45105</v>
      </c>
      <c r="D2405" t="s">
        <v>7</v>
      </c>
      <c r="E2405">
        <v>39</v>
      </c>
      <c r="F2405" t="s">
        <v>6</v>
      </c>
      <c r="H2405" t="s">
        <v>63</v>
      </c>
      <c r="I2405">
        <v>2023</v>
      </c>
    </row>
    <row r="2406" spans="1:9" x14ac:dyDescent="0.3">
      <c r="A2406">
        <v>148107179</v>
      </c>
      <c r="B2406" s="1">
        <v>45105</v>
      </c>
      <c r="C2406" s="1">
        <v>45142</v>
      </c>
      <c r="D2406" t="s">
        <v>7</v>
      </c>
      <c r="E2406">
        <v>39</v>
      </c>
      <c r="F2406" t="s">
        <v>6</v>
      </c>
      <c r="G2406" s="19">
        <v>37</v>
      </c>
      <c r="H2406" t="s">
        <v>63</v>
      </c>
      <c r="I2406">
        <v>2023</v>
      </c>
    </row>
    <row r="2407" spans="1:9" x14ac:dyDescent="0.3">
      <c r="A2407">
        <v>215904194</v>
      </c>
      <c r="B2407" s="1">
        <v>45105</v>
      </c>
      <c r="C2407" s="1">
        <v>45129</v>
      </c>
      <c r="D2407" t="s">
        <v>7</v>
      </c>
      <c r="E2407">
        <v>39</v>
      </c>
      <c r="F2407" t="s">
        <v>6</v>
      </c>
      <c r="G2407" s="19">
        <v>24</v>
      </c>
      <c r="H2407" t="s">
        <v>63</v>
      </c>
      <c r="I2407">
        <v>2023</v>
      </c>
    </row>
    <row r="2408" spans="1:9" x14ac:dyDescent="0.3">
      <c r="A2408">
        <v>217988577</v>
      </c>
      <c r="B2408" s="1">
        <v>45105</v>
      </c>
      <c r="C2408" s="1">
        <v>45133</v>
      </c>
      <c r="D2408" t="s">
        <v>7</v>
      </c>
      <c r="E2408">
        <v>39</v>
      </c>
      <c r="F2408" t="s">
        <v>6</v>
      </c>
      <c r="G2408" s="19">
        <v>28</v>
      </c>
      <c r="H2408" t="s">
        <v>63</v>
      </c>
      <c r="I2408">
        <v>2023</v>
      </c>
    </row>
    <row r="2409" spans="1:9" x14ac:dyDescent="0.3">
      <c r="A2409">
        <v>146124679</v>
      </c>
      <c r="B2409" s="1">
        <v>45105</v>
      </c>
      <c r="C2409" s="1">
        <v>45135</v>
      </c>
      <c r="D2409" t="s">
        <v>7</v>
      </c>
      <c r="E2409">
        <v>39</v>
      </c>
      <c r="F2409" t="s">
        <v>6</v>
      </c>
      <c r="G2409" s="19">
        <v>30</v>
      </c>
      <c r="H2409" t="s">
        <v>63</v>
      </c>
      <c r="I2409">
        <v>2023</v>
      </c>
    </row>
    <row r="2410" spans="1:9" x14ac:dyDescent="0.3">
      <c r="A2410">
        <v>217819772</v>
      </c>
      <c r="B2410" s="1">
        <v>45106</v>
      </c>
      <c r="D2410" t="s">
        <v>7</v>
      </c>
      <c r="E2410">
        <v>39</v>
      </c>
      <c r="F2410" t="s">
        <v>6</v>
      </c>
      <c r="H2410" t="s">
        <v>64</v>
      </c>
      <c r="I2410">
        <v>2023</v>
      </c>
    </row>
    <row r="2411" spans="1:9" x14ac:dyDescent="0.3">
      <c r="A2411">
        <v>217996629</v>
      </c>
      <c r="B2411" s="1">
        <v>45106</v>
      </c>
      <c r="D2411" t="s">
        <v>7</v>
      </c>
      <c r="E2411">
        <v>39</v>
      </c>
      <c r="F2411" t="s">
        <v>6</v>
      </c>
      <c r="H2411" t="s">
        <v>64</v>
      </c>
      <c r="I2411">
        <v>2023</v>
      </c>
    </row>
    <row r="2412" spans="1:9" x14ac:dyDescent="0.3">
      <c r="A2412">
        <v>152621756</v>
      </c>
      <c r="B2412" s="1">
        <v>45106</v>
      </c>
      <c r="D2412" t="s">
        <v>7</v>
      </c>
      <c r="E2412">
        <v>39</v>
      </c>
      <c r="F2412" t="s">
        <v>6</v>
      </c>
      <c r="H2412" t="s">
        <v>64</v>
      </c>
      <c r="I2412">
        <v>2023</v>
      </c>
    </row>
    <row r="2413" spans="1:9" x14ac:dyDescent="0.3">
      <c r="A2413">
        <v>218006807</v>
      </c>
      <c r="B2413" s="1">
        <v>45106</v>
      </c>
      <c r="D2413" t="s">
        <v>7</v>
      </c>
      <c r="E2413">
        <v>39</v>
      </c>
      <c r="F2413" t="s">
        <v>6</v>
      </c>
      <c r="H2413" t="s">
        <v>64</v>
      </c>
      <c r="I2413">
        <v>2023</v>
      </c>
    </row>
    <row r="2414" spans="1:9" x14ac:dyDescent="0.3">
      <c r="A2414">
        <v>218045202</v>
      </c>
      <c r="B2414" s="1">
        <v>45106</v>
      </c>
      <c r="C2414" s="1">
        <v>45167</v>
      </c>
      <c r="D2414" t="s">
        <v>7</v>
      </c>
      <c r="E2414">
        <v>39</v>
      </c>
      <c r="F2414" t="s">
        <v>6</v>
      </c>
      <c r="G2414" s="19">
        <v>61</v>
      </c>
      <c r="H2414" t="s">
        <v>64</v>
      </c>
      <c r="I2414">
        <v>2023</v>
      </c>
    </row>
    <row r="2415" spans="1:9" x14ac:dyDescent="0.3">
      <c r="A2415">
        <v>122215146</v>
      </c>
      <c r="B2415" s="1">
        <v>45106</v>
      </c>
      <c r="C2415" s="1">
        <v>45151</v>
      </c>
      <c r="D2415" t="s">
        <v>7</v>
      </c>
      <c r="E2415">
        <v>39</v>
      </c>
      <c r="F2415" t="s">
        <v>6</v>
      </c>
      <c r="G2415" s="19">
        <v>45</v>
      </c>
      <c r="H2415" t="s">
        <v>64</v>
      </c>
      <c r="I2415">
        <v>2023</v>
      </c>
    </row>
    <row r="2416" spans="1:9" x14ac:dyDescent="0.3">
      <c r="A2416">
        <v>218003864</v>
      </c>
      <c r="B2416" s="1">
        <v>45106</v>
      </c>
      <c r="C2416" s="1">
        <v>45135</v>
      </c>
      <c r="D2416" t="s">
        <v>7</v>
      </c>
      <c r="E2416">
        <v>39</v>
      </c>
      <c r="F2416" t="s">
        <v>6</v>
      </c>
      <c r="G2416" s="19">
        <v>29</v>
      </c>
      <c r="H2416" t="s">
        <v>64</v>
      </c>
      <c r="I2416">
        <v>2023</v>
      </c>
    </row>
    <row r="2417" spans="1:9" x14ac:dyDescent="0.3">
      <c r="A2417">
        <v>218088770</v>
      </c>
      <c r="B2417" s="1">
        <v>45107</v>
      </c>
      <c r="D2417" t="s">
        <v>7</v>
      </c>
      <c r="E2417">
        <v>39</v>
      </c>
      <c r="F2417" t="s">
        <v>6</v>
      </c>
      <c r="H2417" t="s">
        <v>65</v>
      </c>
      <c r="I2417">
        <v>2023</v>
      </c>
    </row>
    <row r="2418" spans="1:9" x14ac:dyDescent="0.3">
      <c r="A2418">
        <v>217856893</v>
      </c>
      <c r="B2418" s="1">
        <v>45107</v>
      </c>
      <c r="D2418" t="s">
        <v>7</v>
      </c>
      <c r="E2418">
        <v>39</v>
      </c>
      <c r="F2418" t="s">
        <v>6</v>
      </c>
      <c r="H2418" t="s">
        <v>65</v>
      </c>
      <c r="I2418">
        <v>2023</v>
      </c>
    </row>
    <row r="2419" spans="1:9" x14ac:dyDescent="0.3">
      <c r="A2419">
        <v>156054912</v>
      </c>
      <c r="B2419" s="1">
        <v>45107</v>
      </c>
      <c r="D2419" t="s">
        <v>7</v>
      </c>
      <c r="E2419">
        <v>39</v>
      </c>
      <c r="F2419" t="s">
        <v>6</v>
      </c>
      <c r="H2419" t="s">
        <v>65</v>
      </c>
      <c r="I2419">
        <v>2023</v>
      </c>
    </row>
    <row r="2420" spans="1:9" x14ac:dyDescent="0.3">
      <c r="A2420">
        <v>218059054</v>
      </c>
      <c r="B2420" s="1">
        <v>45107</v>
      </c>
      <c r="D2420" t="s">
        <v>7</v>
      </c>
      <c r="E2420">
        <v>39</v>
      </c>
      <c r="F2420" t="s">
        <v>6</v>
      </c>
      <c r="H2420" t="s">
        <v>65</v>
      </c>
      <c r="I2420">
        <v>2023</v>
      </c>
    </row>
    <row r="2421" spans="1:9" x14ac:dyDescent="0.3">
      <c r="A2421">
        <v>218074245</v>
      </c>
      <c r="B2421" s="1">
        <v>45107</v>
      </c>
      <c r="D2421" t="s">
        <v>7</v>
      </c>
      <c r="E2421">
        <v>39</v>
      </c>
      <c r="F2421" t="s">
        <v>6</v>
      </c>
      <c r="H2421" t="s">
        <v>65</v>
      </c>
      <c r="I2421">
        <v>2023</v>
      </c>
    </row>
    <row r="2422" spans="1:9" x14ac:dyDescent="0.3">
      <c r="A2422">
        <v>204774586</v>
      </c>
      <c r="B2422" s="1">
        <v>45107</v>
      </c>
      <c r="D2422" t="s">
        <v>7</v>
      </c>
      <c r="E2422">
        <v>39</v>
      </c>
      <c r="F2422" t="s">
        <v>6</v>
      </c>
      <c r="H2422" t="s">
        <v>65</v>
      </c>
      <c r="I2422">
        <v>2023</v>
      </c>
    </row>
    <row r="2423" spans="1:9" x14ac:dyDescent="0.3">
      <c r="A2423">
        <v>215941440</v>
      </c>
      <c r="B2423" s="1">
        <v>45107</v>
      </c>
      <c r="D2423" t="s">
        <v>7</v>
      </c>
      <c r="E2423">
        <v>39</v>
      </c>
      <c r="F2423" t="s">
        <v>6</v>
      </c>
      <c r="H2423" t="s">
        <v>65</v>
      </c>
      <c r="I2423">
        <v>2023</v>
      </c>
    </row>
    <row r="2424" spans="1:9" x14ac:dyDescent="0.3">
      <c r="A2424">
        <v>205547323</v>
      </c>
      <c r="B2424" s="1">
        <v>45107</v>
      </c>
      <c r="D2424" t="s">
        <v>8</v>
      </c>
      <c r="E2424">
        <v>39</v>
      </c>
      <c r="F2424" t="s">
        <v>6</v>
      </c>
      <c r="H2424" t="s">
        <v>65</v>
      </c>
      <c r="I2424">
        <v>2023</v>
      </c>
    </row>
    <row r="2425" spans="1:9" x14ac:dyDescent="0.3">
      <c r="A2425">
        <v>140062581</v>
      </c>
      <c r="B2425" s="1">
        <v>45107</v>
      </c>
      <c r="D2425" t="s">
        <v>7</v>
      </c>
      <c r="E2425">
        <v>39</v>
      </c>
      <c r="F2425" t="s">
        <v>6</v>
      </c>
      <c r="H2425" t="s">
        <v>65</v>
      </c>
      <c r="I2425">
        <v>2023</v>
      </c>
    </row>
    <row r="2426" spans="1:9" x14ac:dyDescent="0.3">
      <c r="A2426">
        <v>217932519</v>
      </c>
      <c r="B2426" s="1">
        <v>45107</v>
      </c>
      <c r="C2426" s="1">
        <v>45108</v>
      </c>
      <c r="D2426" t="s">
        <v>7</v>
      </c>
      <c r="E2426">
        <v>39</v>
      </c>
      <c r="F2426" t="s">
        <v>6</v>
      </c>
      <c r="G2426" s="19">
        <v>1</v>
      </c>
      <c r="H2426" t="s">
        <v>65</v>
      </c>
      <c r="I2426">
        <v>2023</v>
      </c>
    </row>
    <row r="2427" spans="1:9" x14ac:dyDescent="0.3">
      <c r="A2427">
        <v>217982048</v>
      </c>
      <c r="B2427" s="1">
        <v>45107</v>
      </c>
      <c r="C2427" s="1">
        <v>45108</v>
      </c>
      <c r="D2427" t="s">
        <v>8</v>
      </c>
      <c r="E2427">
        <v>39</v>
      </c>
      <c r="F2427" t="s">
        <v>6</v>
      </c>
      <c r="G2427" s="19">
        <v>1</v>
      </c>
      <c r="H2427" t="s">
        <v>65</v>
      </c>
      <c r="I2427">
        <v>2023</v>
      </c>
    </row>
    <row r="2428" spans="1:9" x14ac:dyDescent="0.3">
      <c r="A2428">
        <v>218066467</v>
      </c>
      <c r="B2428" s="1">
        <v>45107</v>
      </c>
      <c r="C2428" s="1">
        <v>45169</v>
      </c>
      <c r="D2428" t="s">
        <v>7</v>
      </c>
      <c r="E2428">
        <v>39</v>
      </c>
      <c r="F2428" t="s">
        <v>6</v>
      </c>
      <c r="G2428" s="19">
        <v>62</v>
      </c>
      <c r="H2428" t="s">
        <v>65</v>
      </c>
      <c r="I2428">
        <v>2023</v>
      </c>
    </row>
    <row r="2429" spans="1:9" x14ac:dyDescent="0.3">
      <c r="A2429">
        <v>218046034</v>
      </c>
      <c r="B2429" s="1">
        <v>45107</v>
      </c>
      <c r="C2429" s="1">
        <v>45175</v>
      </c>
      <c r="D2429" t="s">
        <v>7</v>
      </c>
      <c r="E2429">
        <v>39</v>
      </c>
      <c r="F2429" t="s">
        <v>6</v>
      </c>
      <c r="G2429" s="19">
        <v>68</v>
      </c>
      <c r="H2429" t="s">
        <v>65</v>
      </c>
      <c r="I2429">
        <v>2023</v>
      </c>
    </row>
    <row r="2430" spans="1:9" x14ac:dyDescent="0.3">
      <c r="A2430">
        <v>217697744</v>
      </c>
      <c r="B2430" s="1">
        <v>45107</v>
      </c>
      <c r="C2430" s="1">
        <v>45134</v>
      </c>
      <c r="D2430" t="s">
        <v>7</v>
      </c>
      <c r="E2430">
        <v>39</v>
      </c>
      <c r="F2430" t="s">
        <v>6</v>
      </c>
      <c r="G2430" s="19">
        <v>27</v>
      </c>
      <c r="H2430" t="s">
        <v>65</v>
      </c>
      <c r="I2430">
        <v>2023</v>
      </c>
    </row>
    <row r="2431" spans="1:9" x14ac:dyDescent="0.3">
      <c r="A2431">
        <v>217942738</v>
      </c>
      <c r="B2431" s="1">
        <v>45108</v>
      </c>
      <c r="D2431" t="s">
        <v>7</v>
      </c>
      <c r="E2431">
        <v>39</v>
      </c>
      <c r="F2431" t="s">
        <v>6</v>
      </c>
      <c r="H2431" t="s">
        <v>66</v>
      </c>
      <c r="I2431">
        <v>2023</v>
      </c>
    </row>
    <row r="2432" spans="1:9" x14ac:dyDescent="0.3">
      <c r="A2432">
        <v>218133628</v>
      </c>
      <c r="B2432" s="1">
        <v>45108</v>
      </c>
      <c r="D2432" t="s">
        <v>7</v>
      </c>
      <c r="E2432">
        <v>39</v>
      </c>
      <c r="F2432" t="s">
        <v>6</v>
      </c>
      <c r="H2432" t="s">
        <v>66</v>
      </c>
      <c r="I2432">
        <v>2023</v>
      </c>
    </row>
    <row r="2433" spans="1:9" x14ac:dyDescent="0.3">
      <c r="A2433">
        <v>118508852</v>
      </c>
      <c r="B2433" s="1">
        <v>45108</v>
      </c>
      <c r="D2433" t="s">
        <v>7</v>
      </c>
      <c r="E2433">
        <v>39</v>
      </c>
      <c r="F2433" t="s">
        <v>6</v>
      </c>
      <c r="H2433" t="s">
        <v>66</v>
      </c>
      <c r="I2433">
        <v>2023</v>
      </c>
    </row>
    <row r="2434" spans="1:9" x14ac:dyDescent="0.3">
      <c r="A2434">
        <v>218120267</v>
      </c>
      <c r="B2434" s="1">
        <v>45108</v>
      </c>
      <c r="D2434" t="s">
        <v>7</v>
      </c>
      <c r="E2434">
        <v>39</v>
      </c>
      <c r="F2434" t="s">
        <v>6</v>
      </c>
      <c r="H2434" t="s">
        <v>66</v>
      </c>
      <c r="I2434">
        <v>2023</v>
      </c>
    </row>
    <row r="2435" spans="1:9" x14ac:dyDescent="0.3">
      <c r="A2435">
        <v>218095541</v>
      </c>
      <c r="B2435" s="1">
        <v>45108</v>
      </c>
      <c r="D2435" t="s">
        <v>7</v>
      </c>
      <c r="E2435">
        <v>39</v>
      </c>
      <c r="F2435" t="s">
        <v>6</v>
      </c>
      <c r="H2435" t="s">
        <v>66</v>
      </c>
      <c r="I2435">
        <v>2023</v>
      </c>
    </row>
    <row r="2436" spans="1:9" x14ac:dyDescent="0.3">
      <c r="A2436">
        <v>217626801</v>
      </c>
      <c r="B2436" s="1">
        <v>45108</v>
      </c>
      <c r="D2436" t="s">
        <v>7</v>
      </c>
      <c r="E2436">
        <v>39</v>
      </c>
      <c r="F2436" t="s">
        <v>6</v>
      </c>
      <c r="H2436" t="s">
        <v>66</v>
      </c>
      <c r="I2436">
        <v>2023</v>
      </c>
    </row>
    <row r="2437" spans="1:9" x14ac:dyDescent="0.3">
      <c r="A2437">
        <v>151555660</v>
      </c>
      <c r="B2437" s="1">
        <v>45108</v>
      </c>
      <c r="C2437" s="1">
        <v>45169</v>
      </c>
      <c r="D2437" t="s">
        <v>7</v>
      </c>
      <c r="E2437">
        <v>39</v>
      </c>
      <c r="F2437" t="s">
        <v>6</v>
      </c>
      <c r="G2437" s="19">
        <v>61</v>
      </c>
      <c r="H2437" t="s">
        <v>66</v>
      </c>
      <c r="I2437">
        <v>2023</v>
      </c>
    </row>
    <row r="2438" spans="1:9" x14ac:dyDescent="0.3">
      <c r="A2438">
        <v>217110820</v>
      </c>
      <c r="B2438" s="1">
        <v>45108</v>
      </c>
      <c r="C2438" s="1">
        <v>45142</v>
      </c>
      <c r="D2438" t="s">
        <v>7</v>
      </c>
      <c r="E2438">
        <v>39</v>
      </c>
      <c r="F2438" t="s">
        <v>6</v>
      </c>
      <c r="G2438" s="19">
        <v>34</v>
      </c>
      <c r="H2438" t="s">
        <v>66</v>
      </c>
      <c r="I2438">
        <v>2023</v>
      </c>
    </row>
    <row r="2439" spans="1:9" x14ac:dyDescent="0.3">
      <c r="A2439">
        <v>217932519</v>
      </c>
      <c r="B2439" s="1">
        <v>45108</v>
      </c>
      <c r="C2439" s="1">
        <v>45169</v>
      </c>
      <c r="D2439" t="s">
        <v>7</v>
      </c>
      <c r="E2439">
        <v>39</v>
      </c>
      <c r="F2439" t="s">
        <v>6</v>
      </c>
      <c r="G2439" s="19">
        <v>61</v>
      </c>
      <c r="H2439" t="s">
        <v>66</v>
      </c>
      <c r="I2439">
        <v>2023</v>
      </c>
    </row>
    <row r="2440" spans="1:9" x14ac:dyDescent="0.3">
      <c r="A2440">
        <v>218164848</v>
      </c>
      <c r="B2440" s="1">
        <v>45109</v>
      </c>
      <c r="D2440" t="s">
        <v>7</v>
      </c>
      <c r="E2440">
        <v>39</v>
      </c>
      <c r="F2440" t="s">
        <v>6</v>
      </c>
      <c r="H2440" t="s">
        <v>60</v>
      </c>
      <c r="I2440">
        <v>2023</v>
      </c>
    </row>
    <row r="2441" spans="1:9" x14ac:dyDescent="0.3">
      <c r="A2441">
        <v>217526484</v>
      </c>
      <c r="B2441" s="1">
        <v>45109</v>
      </c>
      <c r="D2441" t="s">
        <v>7</v>
      </c>
      <c r="E2441">
        <v>39</v>
      </c>
      <c r="F2441" t="s">
        <v>6</v>
      </c>
      <c r="H2441" t="s">
        <v>60</v>
      </c>
      <c r="I2441">
        <v>2023</v>
      </c>
    </row>
    <row r="2442" spans="1:9" x14ac:dyDescent="0.3">
      <c r="A2442">
        <v>214940948</v>
      </c>
      <c r="B2442" s="1">
        <v>45109</v>
      </c>
      <c r="D2442" t="s">
        <v>7</v>
      </c>
      <c r="E2442">
        <v>39</v>
      </c>
      <c r="F2442" t="s">
        <v>6</v>
      </c>
      <c r="H2442" t="s">
        <v>60</v>
      </c>
      <c r="I2442">
        <v>2023</v>
      </c>
    </row>
    <row r="2443" spans="1:9" x14ac:dyDescent="0.3">
      <c r="A2443">
        <v>218144586</v>
      </c>
      <c r="B2443" s="1">
        <v>45109</v>
      </c>
      <c r="D2443" t="s">
        <v>7</v>
      </c>
      <c r="E2443">
        <v>39</v>
      </c>
      <c r="F2443" t="s">
        <v>6</v>
      </c>
      <c r="H2443" t="s">
        <v>60</v>
      </c>
      <c r="I2443">
        <v>2023</v>
      </c>
    </row>
    <row r="2444" spans="1:9" x14ac:dyDescent="0.3">
      <c r="A2444">
        <v>217863596</v>
      </c>
      <c r="B2444" s="1">
        <v>45109</v>
      </c>
      <c r="C2444" s="1">
        <v>45158</v>
      </c>
      <c r="D2444" t="s">
        <v>7</v>
      </c>
      <c r="E2444">
        <v>39</v>
      </c>
      <c r="F2444" t="s">
        <v>6</v>
      </c>
      <c r="G2444" s="19">
        <v>49</v>
      </c>
      <c r="H2444" t="s">
        <v>60</v>
      </c>
      <c r="I2444">
        <v>2023</v>
      </c>
    </row>
    <row r="2445" spans="1:9" x14ac:dyDescent="0.3">
      <c r="A2445">
        <v>218098580</v>
      </c>
      <c r="B2445" s="1">
        <v>45109</v>
      </c>
      <c r="C2445" s="1">
        <v>45168</v>
      </c>
      <c r="D2445" t="s">
        <v>7</v>
      </c>
      <c r="E2445">
        <v>39</v>
      </c>
      <c r="F2445" t="s">
        <v>6</v>
      </c>
      <c r="G2445" s="19">
        <v>59</v>
      </c>
      <c r="H2445" t="s">
        <v>60</v>
      </c>
      <c r="I2445">
        <v>2023</v>
      </c>
    </row>
    <row r="2446" spans="1:9" x14ac:dyDescent="0.3">
      <c r="A2446">
        <v>215602271</v>
      </c>
      <c r="B2446" s="1">
        <v>45109</v>
      </c>
      <c r="C2446" s="1">
        <v>45134</v>
      </c>
      <c r="D2446" t="s">
        <v>7</v>
      </c>
      <c r="E2446">
        <v>39</v>
      </c>
      <c r="F2446" t="s">
        <v>6</v>
      </c>
      <c r="G2446" s="19">
        <v>25</v>
      </c>
      <c r="H2446" t="s">
        <v>60</v>
      </c>
      <c r="I2446">
        <v>2023</v>
      </c>
    </row>
    <row r="2447" spans="1:9" x14ac:dyDescent="0.3">
      <c r="A2447">
        <v>218202086</v>
      </c>
      <c r="B2447" s="1">
        <v>45110</v>
      </c>
      <c r="D2447" t="s">
        <v>7</v>
      </c>
      <c r="E2447">
        <v>39</v>
      </c>
      <c r="F2447" t="s">
        <v>6</v>
      </c>
      <c r="H2447" t="s">
        <v>61</v>
      </c>
      <c r="I2447">
        <v>2023</v>
      </c>
    </row>
    <row r="2448" spans="1:9" x14ac:dyDescent="0.3">
      <c r="A2448">
        <v>217927897</v>
      </c>
      <c r="B2448" s="1">
        <v>45110</v>
      </c>
      <c r="D2448" t="s">
        <v>7</v>
      </c>
      <c r="E2448">
        <v>39</v>
      </c>
      <c r="F2448" t="s">
        <v>6</v>
      </c>
      <c r="H2448" t="s">
        <v>61</v>
      </c>
      <c r="I2448">
        <v>2023</v>
      </c>
    </row>
    <row r="2449" spans="1:9" x14ac:dyDescent="0.3">
      <c r="A2449">
        <v>217856402</v>
      </c>
      <c r="B2449" s="1">
        <v>45110</v>
      </c>
      <c r="D2449" t="s">
        <v>7</v>
      </c>
      <c r="E2449">
        <v>39</v>
      </c>
      <c r="F2449" t="s">
        <v>6</v>
      </c>
      <c r="H2449" t="s">
        <v>61</v>
      </c>
      <c r="I2449">
        <v>2023</v>
      </c>
    </row>
    <row r="2450" spans="1:9" x14ac:dyDescent="0.3">
      <c r="A2450">
        <v>217588559</v>
      </c>
      <c r="B2450" s="1">
        <v>45110</v>
      </c>
      <c r="D2450" t="s">
        <v>7</v>
      </c>
      <c r="E2450">
        <v>39</v>
      </c>
      <c r="F2450" t="s">
        <v>6</v>
      </c>
      <c r="H2450" t="s">
        <v>61</v>
      </c>
      <c r="I2450">
        <v>2023</v>
      </c>
    </row>
    <row r="2451" spans="1:9" x14ac:dyDescent="0.3">
      <c r="A2451">
        <v>212136438</v>
      </c>
      <c r="B2451" s="1">
        <v>45110</v>
      </c>
      <c r="D2451" t="s">
        <v>7</v>
      </c>
      <c r="E2451">
        <v>39</v>
      </c>
      <c r="F2451" t="s">
        <v>6</v>
      </c>
      <c r="H2451" t="s">
        <v>61</v>
      </c>
      <c r="I2451">
        <v>2023</v>
      </c>
    </row>
    <row r="2452" spans="1:9" x14ac:dyDescent="0.3">
      <c r="A2452">
        <v>138548670</v>
      </c>
      <c r="B2452" s="1">
        <v>45110</v>
      </c>
      <c r="D2452" t="s">
        <v>7</v>
      </c>
      <c r="E2452">
        <v>39</v>
      </c>
      <c r="F2452" t="s">
        <v>6</v>
      </c>
      <c r="H2452" t="s">
        <v>61</v>
      </c>
      <c r="I2452">
        <v>2023</v>
      </c>
    </row>
    <row r="2453" spans="1:9" x14ac:dyDescent="0.3">
      <c r="A2453">
        <v>217588559</v>
      </c>
      <c r="B2453" s="1">
        <v>45110</v>
      </c>
      <c r="C2453" s="1">
        <v>45110</v>
      </c>
      <c r="D2453" t="s">
        <v>7</v>
      </c>
      <c r="E2453">
        <v>39</v>
      </c>
      <c r="F2453" t="s">
        <v>6</v>
      </c>
      <c r="G2453" s="19">
        <v>0</v>
      </c>
      <c r="H2453" t="s">
        <v>61</v>
      </c>
      <c r="I2453">
        <v>2023</v>
      </c>
    </row>
    <row r="2454" spans="1:9" x14ac:dyDescent="0.3">
      <c r="A2454">
        <v>171893540</v>
      </c>
      <c r="B2454" s="1">
        <v>45110</v>
      </c>
      <c r="C2454" s="1">
        <v>45158</v>
      </c>
      <c r="D2454" t="s">
        <v>7</v>
      </c>
      <c r="E2454">
        <v>39</v>
      </c>
      <c r="F2454" t="s">
        <v>6</v>
      </c>
      <c r="G2454" s="19">
        <v>48</v>
      </c>
      <c r="H2454" t="s">
        <v>61</v>
      </c>
      <c r="I2454">
        <v>2023</v>
      </c>
    </row>
    <row r="2455" spans="1:9" x14ac:dyDescent="0.3">
      <c r="A2455">
        <v>202412363</v>
      </c>
      <c r="B2455" s="1">
        <v>45110</v>
      </c>
      <c r="C2455" s="1">
        <v>45129</v>
      </c>
      <c r="D2455" t="s">
        <v>7</v>
      </c>
      <c r="E2455">
        <v>39</v>
      </c>
      <c r="F2455" t="s">
        <v>6</v>
      </c>
      <c r="G2455" s="19">
        <v>19</v>
      </c>
      <c r="H2455" t="s">
        <v>61</v>
      </c>
      <c r="I2455">
        <v>2023</v>
      </c>
    </row>
    <row r="2456" spans="1:9" x14ac:dyDescent="0.3">
      <c r="A2456">
        <v>218129311</v>
      </c>
      <c r="B2456" s="1">
        <v>45110</v>
      </c>
      <c r="C2456" s="1">
        <v>45148</v>
      </c>
      <c r="D2456" t="s">
        <v>7</v>
      </c>
      <c r="E2456">
        <v>39</v>
      </c>
      <c r="F2456" t="s">
        <v>6</v>
      </c>
      <c r="G2456" s="19">
        <v>38</v>
      </c>
      <c r="H2456" t="s">
        <v>61</v>
      </c>
      <c r="I2456">
        <v>2023</v>
      </c>
    </row>
    <row r="2457" spans="1:9" x14ac:dyDescent="0.3">
      <c r="A2457">
        <v>218092565</v>
      </c>
      <c r="B2457" s="1">
        <v>45110</v>
      </c>
      <c r="C2457" s="1">
        <v>45148</v>
      </c>
      <c r="D2457" t="s">
        <v>7</v>
      </c>
      <c r="E2457">
        <v>39</v>
      </c>
      <c r="F2457" t="s">
        <v>6</v>
      </c>
      <c r="G2457" s="19">
        <v>38</v>
      </c>
      <c r="H2457" t="s">
        <v>61</v>
      </c>
      <c r="I2457">
        <v>2023</v>
      </c>
    </row>
    <row r="2458" spans="1:9" x14ac:dyDescent="0.3">
      <c r="A2458">
        <v>150436862</v>
      </c>
      <c r="B2458" s="1">
        <v>45111</v>
      </c>
      <c r="D2458" t="s">
        <v>7</v>
      </c>
      <c r="E2458">
        <v>39</v>
      </c>
      <c r="F2458" t="s">
        <v>6</v>
      </c>
      <c r="H2458" t="s">
        <v>62</v>
      </c>
      <c r="I2458">
        <v>2023</v>
      </c>
    </row>
    <row r="2459" spans="1:9" x14ac:dyDescent="0.3">
      <c r="A2459">
        <v>218211840</v>
      </c>
      <c r="B2459" s="1">
        <v>45111</v>
      </c>
      <c r="D2459" t="s">
        <v>7</v>
      </c>
      <c r="E2459">
        <v>39</v>
      </c>
      <c r="F2459" t="s">
        <v>6</v>
      </c>
      <c r="H2459" t="s">
        <v>62</v>
      </c>
      <c r="I2459">
        <v>2023</v>
      </c>
    </row>
    <row r="2460" spans="1:9" x14ac:dyDescent="0.3">
      <c r="A2460">
        <v>218235209</v>
      </c>
      <c r="B2460" s="1">
        <v>45111</v>
      </c>
      <c r="D2460" t="s">
        <v>7</v>
      </c>
      <c r="E2460">
        <v>39</v>
      </c>
      <c r="F2460" t="s">
        <v>6</v>
      </c>
      <c r="H2460" t="s">
        <v>62</v>
      </c>
      <c r="I2460">
        <v>2023</v>
      </c>
    </row>
    <row r="2461" spans="1:9" x14ac:dyDescent="0.3">
      <c r="A2461">
        <v>132631414</v>
      </c>
      <c r="B2461" s="1">
        <v>45111</v>
      </c>
      <c r="D2461" t="s">
        <v>7</v>
      </c>
      <c r="E2461">
        <v>39</v>
      </c>
      <c r="F2461" t="s">
        <v>6</v>
      </c>
      <c r="H2461" t="s">
        <v>62</v>
      </c>
      <c r="I2461">
        <v>2023</v>
      </c>
    </row>
    <row r="2462" spans="1:9" x14ac:dyDescent="0.3">
      <c r="A2462">
        <v>218254260</v>
      </c>
      <c r="B2462" s="1">
        <v>45111</v>
      </c>
      <c r="D2462" t="s">
        <v>7</v>
      </c>
      <c r="E2462">
        <v>39</v>
      </c>
      <c r="F2462" t="s">
        <v>6</v>
      </c>
      <c r="H2462" t="s">
        <v>62</v>
      </c>
      <c r="I2462">
        <v>2023</v>
      </c>
    </row>
    <row r="2463" spans="1:9" x14ac:dyDescent="0.3">
      <c r="A2463">
        <v>218095604</v>
      </c>
      <c r="B2463" s="1">
        <v>45111</v>
      </c>
      <c r="D2463" t="s">
        <v>7</v>
      </c>
      <c r="E2463">
        <v>39</v>
      </c>
      <c r="F2463" t="s">
        <v>6</v>
      </c>
      <c r="H2463" t="s">
        <v>62</v>
      </c>
      <c r="I2463">
        <v>2023</v>
      </c>
    </row>
    <row r="2464" spans="1:9" x14ac:dyDescent="0.3">
      <c r="A2464">
        <v>147845964</v>
      </c>
      <c r="B2464" s="1">
        <v>45111</v>
      </c>
      <c r="C2464" s="1">
        <v>45111</v>
      </c>
      <c r="D2464" t="s">
        <v>7</v>
      </c>
      <c r="E2464">
        <v>39</v>
      </c>
      <c r="F2464" t="s">
        <v>6</v>
      </c>
      <c r="G2464" s="19">
        <v>0</v>
      </c>
      <c r="H2464" t="s">
        <v>62</v>
      </c>
      <c r="I2464">
        <v>2023</v>
      </c>
    </row>
    <row r="2465" spans="1:9" x14ac:dyDescent="0.3">
      <c r="A2465">
        <v>218242871</v>
      </c>
      <c r="B2465" s="1">
        <v>45111</v>
      </c>
      <c r="C2465" s="1">
        <v>45142</v>
      </c>
      <c r="D2465" t="s">
        <v>7</v>
      </c>
      <c r="E2465">
        <v>39</v>
      </c>
      <c r="F2465" t="s">
        <v>6</v>
      </c>
      <c r="G2465" s="19">
        <v>31</v>
      </c>
      <c r="H2465" t="s">
        <v>62</v>
      </c>
      <c r="I2465">
        <v>2023</v>
      </c>
    </row>
    <row r="2466" spans="1:9" x14ac:dyDescent="0.3">
      <c r="A2466">
        <v>218238016</v>
      </c>
      <c r="B2466" s="1">
        <v>45111</v>
      </c>
      <c r="C2466" s="1">
        <v>45172</v>
      </c>
      <c r="D2466" t="s">
        <v>7</v>
      </c>
      <c r="E2466">
        <v>39</v>
      </c>
      <c r="F2466" t="s">
        <v>6</v>
      </c>
      <c r="G2466" s="19">
        <v>61</v>
      </c>
      <c r="H2466" t="s">
        <v>62</v>
      </c>
      <c r="I2466">
        <v>2023</v>
      </c>
    </row>
    <row r="2467" spans="1:9" x14ac:dyDescent="0.3">
      <c r="A2467">
        <v>217387951</v>
      </c>
      <c r="B2467" s="1">
        <v>45111</v>
      </c>
      <c r="C2467" s="1">
        <v>45142</v>
      </c>
      <c r="D2467" t="s">
        <v>7</v>
      </c>
      <c r="E2467">
        <v>39</v>
      </c>
      <c r="F2467" t="s">
        <v>6</v>
      </c>
      <c r="G2467" s="19">
        <v>31</v>
      </c>
      <c r="H2467" t="s">
        <v>62</v>
      </c>
      <c r="I2467">
        <v>2023</v>
      </c>
    </row>
    <row r="2468" spans="1:9" x14ac:dyDescent="0.3">
      <c r="A2468">
        <v>218236754</v>
      </c>
      <c r="B2468" s="1">
        <v>45111</v>
      </c>
      <c r="C2468" s="1">
        <v>45118</v>
      </c>
      <c r="D2468" t="s">
        <v>7</v>
      </c>
      <c r="E2468">
        <v>39</v>
      </c>
      <c r="F2468" t="s">
        <v>6</v>
      </c>
      <c r="G2468" s="19">
        <v>7</v>
      </c>
      <c r="H2468" t="s">
        <v>62</v>
      </c>
      <c r="I2468">
        <v>2023</v>
      </c>
    </row>
    <row r="2469" spans="1:9" x14ac:dyDescent="0.3">
      <c r="A2469">
        <v>218307564</v>
      </c>
      <c r="B2469" s="1">
        <v>45112</v>
      </c>
      <c r="D2469" t="s">
        <v>7</v>
      </c>
      <c r="E2469">
        <v>39</v>
      </c>
      <c r="F2469" t="s">
        <v>6</v>
      </c>
      <c r="H2469" t="s">
        <v>63</v>
      </c>
      <c r="I2469">
        <v>2023</v>
      </c>
    </row>
    <row r="2470" spans="1:9" x14ac:dyDescent="0.3">
      <c r="A2470">
        <v>150521180</v>
      </c>
      <c r="B2470" s="1">
        <v>45112</v>
      </c>
      <c r="D2470" t="s">
        <v>7</v>
      </c>
      <c r="E2470">
        <v>39</v>
      </c>
      <c r="F2470" t="s">
        <v>6</v>
      </c>
      <c r="H2470" t="s">
        <v>63</v>
      </c>
      <c r="I2470">
        <v>2023</v>
      </c>
    </row>
    <row r="2471" spans="1:9" x14ac:dyDescent="0.3">
      <c r="A2471">
        <v>135240372</v>
      </c>
      <c r="B2471" s="1">
        <v>45112</v>
      </c>
      <c r="D2471" t="s">
        <v>7</v>
      </c>
      <c r="E2471">
        <v>39</v>
      </c>
      <c r="F2471" t="s">
        <v>6</v>
      </c>
      <c r="H2471" t="s">
        <v>63</v>
      </c>
      <c r="I2471">
        <v>2023</v>
      </c>
    </row>
    <row r="2472" spans="1:9" x14ac:dyDescent="0.3">
      <c r="A2472">
        <v>218275834</v>
      </c>
      <c r="B2472" s="1">
        <v>45112</v>
      </c>
      <c r="D2472" t="s">
        <v>7</v>
      </c>
      <c r="E2472">
        <v>39</v>
      </c>
      <c r="F2472" t="s">
        <v>6</v>
      </c>
      <c r="H2472" t="s">
        <v>63</v>
      </c>
      <c r="I2472">
        <v>2023</v>
      </c>
    </row>
    <row r="2473" spans="1:9" x14ac:dyDescent="0.3">
      <c r="A2473">
        <v>218028076</v>
      </c>
      <c r="B2473" s="1">
        <v>45112</v>
      </c>
      <c r="D2473" t="s">
        <v>7</v>
      </c>
      <c r="E2473">
        <v>39</v>
      </c>
      <c r="F2473" t="s">
        <v>6</v>
      </c>
      <c r="H2473" t="s">
        <v>63</v>
      </c>
      <c r="I2473">
        <v>2023</v>
      </c>
    </row>
    <row r="2474" spans="1:9" x14ac:dyDescent="0.3">
      <c r="A2474">
        <v>164254865</v>
      </c>
      <c r="B2474" s="1">
        <v>45112</v>
      </c>
      <c r="D2474" t="s">
        <v>7</v>
      </c>
      <c r="E2474">
        <v>39</v>
      </c>
      <c r="F2474" t="s">
        <v>6</v>
      </c>
      <c r="H2474" t="s">
        <v>63</v>
      </c>
      <c r="I2474">
        <v>2023</v>
      </c>
    </row>
    <row r="2475" spans="1:9" x14ac:dyDescent="0.3">
      <c r="A2475">
        <v>218274904</v>
      </c>
      <c r="B2475" s="1">
        <v>45112</v>
      </c>
      <c r="C2475" s="1">
        <v>45113</v>
      </c>
      <c r="D2475" t="s">
        <v>8</v>
      </c>
      <c r="E2475">
        <v>39</v>
      </c>
      <c r="F2475" t="s">
        <v>6</v>
      </c>
      <c r="G2475" s="19">
        <v>1</v>
      </c>
      <c r="H2475" t="s">
        <v>63</v>
      </c>
      <c r="I2475">
        <v>2023</v>
      </c>
    </row>
    <row r="2476" spans="1:9" x14ac:dyDescent="0.3">
      <c r="A2476">
        <v>208473540</v>
      </c>
      <c r="B2476" s="1">
        <v>45112</v>
      </c>
      <c r="C2476" s="1">
        <v>45177</v>
      </c>
      <c r="D2476" t="s">
        <v>7</v>
      </c>
      <c r="E2476">
        <v>39</v>
      </c>
      <c r="F2476" t="s">
        <v>6</v>
      </c>
      <c r="G2476" s="19">
        <v>65</v>
      </c>
      <c r="H2476" t="s">
        <v>63</v>
      </c>
      <c r="I2476">
        <v>2023</v>
      </c>
    </row>
    <row r="2477" spans="1:9" x14ac:dyDescent="0.3">
      <c r="A2477">
        <v>218233516</v>
      </c>
      <c r="B2477" s="1">
        <v>45112</v>
      </c>
      <c r="C2477" s="1">
        <v>45146</v>
      </c>
      <c r="D2477" t="s">
        <v>7</v>
      </c>
      <c r="E2477">
        <v>39</v>
      </c>
      <c r="F2477" t="s">
        <v>6</v>
      </c>
      <c r="G2477" s="19">
        <v>34</v>
      </c>
      <c r="H2477" t="s">
        <v>63</v>
      </c>
      <c r="I2477">
        <v>2023</v>
      </c>
    </row>
    <row r="2478" spans="1:9" x14ac:dyDescent="0.3">
      <c r="A2478">
        <v>218261606</v>
      </c>
      <c r="B2478" s="1">
        <v>45112</v>
      </c>
      <c r="C2478" s="1">
        <v>45155</v>
      </c>
      <c r="D2478" t="s">
        <v>7</v>
      </c>
      <c r="E2478">
        <v>39</v>
      </c>
      <c r="F2478" t="s">
        <v>6</v>
      </c>
      <c r="G2478" s="19">
        <v>43</v>
      </c>
      <c r="H2478" t="s">
        <v>63</v>
      </c>
      <c r="I2478">
        <v>2023</v>
      </c>
    </row>
    <row r="2479" spans="1:9" x14ac:dyDescent="0.3">
      <c r="A2479">
        <v>218289472</v>
      </c>
      <c r="B2479" s="1">
        <v>45112</v>
      </c>
      <c r="C2479" s="1">
        <v>45113</v>
      </c>
      <c r="D2479" t="s">
        <v>7</v>
      </c>
      <c r="E2479">
        <v>39</v>
      </c>
      <c r="F2479" t="s">
        <v>6</v>
      </c>
      <c r="G2479" s="19">
        <v>1</v>
      </c>
      <c r="H2479" t="s">
        <v>63</v>
      </c>
      <c r="I2479">
        <v>2023</v>
      </c>
    </row>
    <row r="2480" spans="1:9" x14ac:dyDescent="0.3">
      <c r="A2480">
        <v>215946425</v>
      </c>
      <c r="B2480" s="1">
        <v>45112</v>
      </c>
      <c r="C2480" s="1">
        <v>45136</v>
      </c>
      <c r="D2480" t="s">
        <v>7</v>
      </c>
      <c r="E2480">
        <v>39</v>
      </c>
      <c r="F2480" t="s">
        <v>6</v>
      </c>
      <c r="G2480" s="19">
        <v>24</v>
      </c>
      <c r="H2480" t="s">
        <v>63</v>
      </c>
      <c r="I2480">
        <v>2023</v>
      </c>
    </row>
    <row r="2481" spans="1:9" x14ac:dyDescent="0.3">
      <c r="A2481">
        <v>218284850</v>
      </c>
      <c r="B2481" s="1">
        <v>45112</v>
      </c>
      <c r="C2481" s="1">
        <v>45136</v>
      </c>
      <c r="D2481" t="s">
        <v>7</v>
      </c>
      <c r="E2481">
        <v>39</v>
      </c>
      <c r="F2481" t="s">
        <v>6</v>
      </c>
      <c r="G2481" s="19">
        <v>24</v>
      </c>
      <c r="H2481" t="s">
        <v>63</v>
      </c>
      <c r="I2481">
        <v>2023</v>
      </c>
    </row>
    <row r="2482" spans="1:9" x14ac:dyDescent="0.3">
      <c r="A2482">
        <v>202151053</v>
      </c>
      <c r="B2482" s="1">
        <v>45113</v>
      </c>
      <c r="D2482" t="s">
        <v>7</v>
      </c>
      <c r="E2482">
        <v>39</v>
      </c>
      <c r="F2482" t="s">
        <v>6</v>
      </c>
      <c r="H2482" t="s">
        <v>64</v>
      </c>
      <c r="I2482">
        <v>2023</v>
      </c>
    </row>
    <row r="2483" spans="1:9" x14ac:dyDescent="0.3">
      <c r="A2483">
        <v>112301350</v>
      </c>
      <c r="B2483" s="1">
        <v>45113</v>
      </c>
      <c r="D2483" t="s">
        <v>7</v>
      </c>
      <c r="E2483">
        <v>39</v>
      </c>
      <c r="F2483" t="s">
        <v>6</v>
      </c>
      <c r="H2483" t="s">
        <v>64</v>
      </c>
      <c r="I2483">
        <v>2023</v>
      </c>
    </row>
    <row r="2484" spans="1:9" x14ac:dyDescent="0.3">
      <c r="A2484">
        <v>218300918</v>
      </c>
      <c r="B2484" s="1">
        <v>45113</v>
      </c>
      <c r="D2484" t="s">
        <v>7</v>
      </c>
      <c r="E2484">
        <v>39</v>
      </c>
      <c r="F2484" t="s">
        <v>6</v>
      </c>
      <c r="H2484" t="s">
        <v>64</v>
      </c>
      <c r="I2484">
        <v>2023</v>
      </c>
    </row>
    <row r="2485" spans="1:9" x14ac:dyDescent="0.3">
      <c r="A2485">
        <v>205452800</v>
      </c>
      <c r="B2485" s="1">
        <v>45113</v>
      </c>
      <c r="D2485" t="s">
        <v>7</v>
      </c>
      <c r="E2485">
        <v>39</v>
      </c>
      <c r="F2485" t="s">
        <v>6</v>
      </c>
      <c r="H2485" t="s">
        <v>64</v>
      </c>
      <c r="I2485">
        <v>2023</v>
      </c>
    </row>
    <row r="2486" spans="1:9" x14ac:dyDescent="0.3">
      <c r="A2486">
        <v>218278300</v>
      </c>
      <c r="B2486" s="1">
        <v>45113</v>
      </c>
      <c r="D2486" t="s">
        <v>7</v>
      </c>
      <c r="E2486">
        <v>39</v>
      </c>
      <c r="F2486" t="s">
        <v>6</v>
      </c>
      <c r="H2486" t="s">
        <v>64</v>
      </c>
      <c r="I2486">
        <v>2023</v>
      </c>
    </row>
    <row r="2487" spans="1:9" x14ac:dyDescent="0.3">
      <c r="A2487">
        <v>216920844</v>
      </c>
      <c r="B2487" s="1">
        <v>45113</v>
      </c>
      <c r="D2487" t="s">
        <v>7</v>
      </c>
      <c r="E2487">
        <v>39</v>
      </c>
      <c r="F2487" t="s">
        <v>6</v>
      </c>
      <c r="H2487" t="s">
        <v>64</v>
      </c>
      <c r="I2487">
        <v>2023</v>
      </c>
    </row>
    <row r="2488" spans="1:9" x14ac:dyDescent="0.3">
      <c r="A2488">
        <v>127100688</v>
      </c>
      <c r="B2488" s="1">
        <v>45113</v>
      </c>
      <c r="C2488" s="1">
        <v>45140</v>
      </c>
      <c r="D2488" t="s">
        <v>7</v>
      </c>
      <c r="E2488">
        <v>39</v>
      </c>
      <c r="F2488" t="s">
        <v>6</v>
      </c>
      <c r="G2488" s="19">
        <v>27</v>
      </c>
      <c r="H2488" t="s">
        <v>64</v>
      </c>
      <c r="I2488">
        <v>2023</v>
      </c>
    </row>
    <row r="2489" spans="1:9" x14ac:dyDescent="0.3">
      <c r="A2489">
        <v>218345379</v>
      </c>
      <c r="B2489" s="1">
        <v>45113</v>
      </c>
      <c r="C2489" s="1">
        <v>45151</v>
      </c>
      <c r="D2489" t="s">
        <v>7</v>
      </c>
      <c r="E2489">
        <v>39</v>
      </c>
      <c r="F2489" t="s">
        <v>6</v>
      </c>
      <c r="G2489" s="19">
        <v>38</v>
      </c>
      <c r="H2489" t="s">
        <v>64</v>
      </c>
      <c r="I2489">
        <v>2023</v>
      </c>
    </row>
    <row r="2490" spans="1:9" x14ac:dyDescent="0.3">
      <c r="A2490">
        <v>183507186</v>
      </c>
      <c r="B2490" s="1">
        <v>45113</v>
      </c>
      <c r="C2490" s="1">
        <v>45144</v>
      </c>
      <c r="D2490" t="s">
        <v>7</v>
      </c>
      <c r="E2490">
        <v>39</v>
      </c>
      <c r="F2490" t="s">
        <v>6</v>
      </c>
      <c r="G2490" s="19">
        <v>31</v>
      </c>
      <c r="H2490" t="s">
        <v>64</v>
      </c>
      <c r="I2490">
        <v>2023</v>
      </c>
    </row>
    <row r="2491" spans="1:9" x14ac:dyDescent="0.3">
      <c r="A2491">
        <v>218133430</v>
      </c>
      <c r="B2491" s="1">
        <v>45114</v>
      </c>
      <c r="D2491" t="s">
        <v>7</v>
      </c>
      <c r="E2491">
        <v>39</v>
      </c>
      <c r="F2491" t="s">
        <v>6</v>
      </c>
      <c r="H2491" t="s">
        <v>65</v>
      </c>
      <c r="I2491">
        <v>2023</v>
      </c>
    </row>
    <row r="2492" spans="1:9" x14ac:dyDescent="0.3">
      <c r="A2492">
        <v>147813476</v>
      </c>
      <c r="B2492" s="1">
        <v>45114</v>
      </c>
      <c r="D2492" t="s">
        <v>7</v>
      </c>
      <c r="E2492">
        <v>39</v>
      </c>
      <c r="F2492" t="s">
        <v>6</v>
      </c>
      <c r="H2492" t="s">
        <v>65</v>
      </c>
      <c r="I2492">
        <v>2023</v>
      </c>
    </row>
    <row r="2493" spans="1:9" x14ac:dyDescent="0.3">
      <c r="A2493">
        <v>218375754</v>
      </c>
      <c r="B2493" s="1">
        <v>45114</v>
      </c>
      <c r="D2493" t="s">
        <v>7</v>
      </c>
      <c r="E2493">
        <v>39</v>
      </c>
      <c r="F2493" t="s">
        <v>6</v>
      </c>
      <c r="H2493" t="s">
        <v>65</v>
      </c>
      <c r="I2493">
        <v>2023</v>
      </c>
    </row>
    <row r="2494" spans="1:9" x14ac:dyDescent="0.3">
      <c r="A2494">
        <v>216000482</v>
      </c>
      <c r="B2494" s="1">
        <v>45114</v>
      </c>
      <c r="D2494" t="s">
        <v>7</v>
      </c>
      <c r="E2494">
        <v>39</v>
      </c>
      <c r="F2494" t="s">
        <v>6</v>
      </c>
      <c r="H2494" t="s">
        <v>65</v>
      </c>
      <c r="I2494">
        <v>2023</v>
      </c>
    </row>
    <row r="2495" spans="1:9" x14ac:dyDescent="0.3">
      <c r="A2495">
        <v>161549477</v>
      </c>
      <c r="B2495" s="1">
        <v>45114</v>
      </c>
      <c r="D2495" t="s">
        <v>7</v>
      </c>
      <c r="E2495">
        <v>39</v>
      </c>
      <c r="F2495" t="s">
        <v>6</v>
      </c>
      <c r="H2495" t="s">
        <v>65</v>
      </c>
      <c r="I2495">
        <v>2023</v>
      </c>
    </row>
    <row r="2496" spans="1:9" x14ac:dyDescent="0.3">
      <c r="A2496">
        <v>133444654</v>
      </c>
      <c r="B2496" s="1">
        <v>45114</v>
      </c>
      <c r="C2496" s="1">
        <v>45117</v>
      </c>
      <c r="D2496" t="s">
        <v>7</v>
      </c>
      <c r="E2496">
        <v>39</v>
      </c>
      <c r="F2496" t="s">
        <v>6</v>
      </c>
      <c r="G2496" s="19">
        <v>3</v>
      </c>
      <c r="H2496" t="s">
        <v>65</v>
      </c>
      <c r="I2496">
        <v>2023</v>
      </c>
    </row>
    <row r="2497" spans="1:9" x14ac:dyDescent="0.3">
      <c r="A2497">
        <v>217883594</v>
      </c>
      <c r="B2497" s="1">
        <v>45114</v>
      </c>
      <c r="C2497" s="1">
        <v>45134</v>
      </c>
      <c r="D2497" t="s">
        <v>7</v>
      </c>
      <c r="E2497">
        <v>39</v>
      </c>
      <c r="F2497" t="s">
        <v>6</v>
      </c>
      <c r="G2497" s="19">
        <v>20</v>
      </c>
      <c r="H2497" t="s">
        <v>65</v>
      </c>
      <c r="I2497">
        <v>2023</v>
      </c>
    </row>
    <row r="2498" spans="1:9" x14ac:dyDescent="0.3">
      <c r="A2498">
        <v>197752733</v>
      </c>
      <c r="B2498" s="1">
        <v>45115</v>
      </c>
      <c r="D2498" t="s">
        <v>7</v>
      </c>
      <c r="E2498">
        <v>39</v>
      </c>
      <c r="F2498" t="s">
        <v>6</v>
      </c>
      <c r="H2498" t="s">
        <v>66</v>
      </c>
      <c r="I2498">
        <v>2023</v>
      </c>
    </row>
    <row r="2499" spans="1:9" x14ac:dyDescent="0.3">
      <c r="A2499">
        <v>175884318</v>
      </c>
      <c r="B2499" s="1">
        <v>45115</v>
      </c>
      <c r="D2499" t="s">
        <v>7</v>
      </c>
      <c r="E2499">
        <v>39</v>
      </c>
      <c r="F2499" t="s">
        <v>6</v>
      </c>
      <c r="H2499" t="s">
        <v>66</v>
      </c>
      <c r="I2499">
        <v>2023</v>
      </c>
    </row>
    <row r="2500" spans="1:9" x14ac:dyDescent="0.3">
      <c r="A2500">
        <v>218413958</v>
      </c>
      <c r="B2500" s="1">
        <v>45115</v>
      </c>
      <c r="D2500" t="s">
        <v>7</v>
      </c>
      <c r="E2500">
        <v>39</v>
      </c>
      <c r="F2500" t="s">
        <v>6</v>
      </c>
      <c r="H2500" t="s">
        <v>66</v>
      </c>
      <c r="I2500">
        <v>2023</v>
      </c>
    </row>
    <row r="2501" spans="1:9" x14ac:dyDescent="0.3">
      <c r="A2501">
        <v>218434925</v>
      </c>
      <c r="B2501" s="1">
        <v>45115</v>
      </c>
      <c r="D2501" t="s">
        <v>7</v>
      </c>
      <c r="E2501">
        <v>39</v>
      </c>
      <c r="F2501" t="s">
        <v>6</v>
      </c>
      <c r="H2501" t="s">
        <v>66</v>
      </c>
      <c r="I2501">
        <v>2023</v>
      </c>
    </row>
    <row r="2502" spans="1:9" x14ac:dyDescent="0.3">
      <c r="A2502">
        <v>156817946</v>
      </c>
      <c r="B2502" s="1">
        <v>45115</v>
      </c>
      <c r="D2502" t="s">
        <v>7</v>
      </c>
      <c r="E2502">
        <v>39</v>
      </c>
      <c r="F2502" t="s">
        <v>6</v>
      </c>
      <c r="H2502" t="s">
        <v>66</v>
      </c>
      <c r="I2502">
        <v>2023</v>
      </c>
    </row>
    <row r="2503" spans="1:9" x14ac:dyDescent="0.3">
      <c r="A2503">
        <v>218427268</v>
      </c>
      <c r="B2503" s="1">
        <v>45115</v>
      </c>
      <c r="D2503" t="s">
        <v>7</v>
      </c>
      <c r="E2503">
        <v>39</v>
      </c>
      <c r="F2503" t="s">
        <v>6</v>
      </c>
      <c r="H2503" t="s">
        <v>66</v>
      </c>
      <c r="I2503">
        <v>2023</v>
      </c>
    </row>
    <row r="2504" spans="1:9" x14ac:dyDescent="0.3">
      <c r="A2504">
        <v>208492287</v>
      </c>
      <c r="B2504" s="1">
        <v>45115</v>
      </c>
      <c r="D2504" t="s">
        <v>7</v>
      </c>
      <c r="E2504">
        <v>39</v>
      </c>
      <c r="F2504" t="s">
        <v>6</v>
      </c>
      <c r="H2504" t="s">
        <v>66</v>
      </c>
      <c r="I2504">
        <v>2023</v>
      </c>
    </row>
    <row r="2505" spans="1:9" x14ac:dyDescent="0.3">
      <c r="A2505">
        <v>217499098</v>
      </c>
      <c r="B2505" s="1">
        <v>45115</v>
      </c>
      <c r="C2505" s="1">
        <v>45116</v>
      </c>
      <c r="D2505" t="s">
        <v>7</v>
      </c>
      <c r="E2505">
        <v>39</v>
      </c>
      <c r="F2505" t="s">
        <v>6</v>
      </c>
      <c r="G2505" s="19">
        <v>1</v>
      </c>
      <c r="H2505" t="s">
        <v>66</v>
      </c>
      <c r="I2505">
        <v>2023</v>
      </c>
    </row>
    <row r="2506" spans="1:9" x14ac:dyDescent="0.3">
      <c r="A2506">
        <v>215723331</v>
      </c>
      <c r="B2506" s="1">
        <v>45115</v>
      </c>
      <c r="C2506" s="1">
        <v>45153</v>
      </c>
      <c r="D2506" t="s">
        <v>7</v>
      </c>
      <c r="E2506">
        <v>39</v>
      </c>
      <c r="F2506" t="s">
        <v>6</v>
      </c>
      <c r="G2506" s="19">
        <v>38</v>
      </c>
      <c r="H2506" t="s">
        <v>66</v>
      </c>
      <c r="I2506">
        <v>2023</v>
      </c>
    </row>
    <row r="2507" spans="1:9" x14ac:dyDescent="0.3">
      <c r="A2507">
        <v>122616074</v>
      </c>
      <c r="B2507" s="1">
        <v>45116</v>
      </c>
      <c r="D2507" t="s">
        <v>7</v>
      </c>
      <c r="E2507">
        <v>39</v>
      </c>
      <c r="F2507" t="s">
        <v>6</v>
      </c>
      <c r="H2507" t="s">
        <v>60</v>
      </c>
      <c r="I2507">
        <v>2023</v>
      </c>
    </row>
    <row r="2508" spans="1:9" x14ac:dyDescent="0.3">
      <c r="A2508">
        <v>218367490</v>
      </c>
      <c r="B2508" s="1">
        <v>45116</v>
      </c>
      <c r="D2508" t="s">
        <v>7</v>
      </c>
      <c r="E2508">
        <v>39</v>
      </c>
      <c r="F2508" t="s">
        <v>6</v>
      </c>
      <c r="H2508" t="s">
        <v>60</v>
      </c>
      <c r="I2508">
        <v>2023</v>
      </c>
    </row>
    <row r="2509" spans="1:9" x14ac:dyDescent="0.3">
      <c r="A2509">
        <v>218415420</v>
      </c>
      <c r="B2509" s="1">
        <v>45116</v>
      </c>
      <c r="D2509" t="s">
        <v>7</v>
      </c>
      <c r="E2509">
        <v>39</v>
      </c>
      <c r="F2509" t="s">
        <v>6</v>
      </c>
      <c r="H2509" t="s">
        <v>60</v>
      </c>
      <c r="I2509">
        <v>2023</v>
      </c>
    </row>
    <row r="2510" spans="1:9" x14ac:dyDescent="0.3">
      <c r="A2510">
        <v>135785962</v>
      </c>
      <c r="B2510" s="1">
        <v>45116</v>
      </c>
      <c r="D2510" t="s">
        <v>7</v>
      </c>
      <c r="E2510">
        <v>39</v>
      </c>
      <c r="F2510" t="s">
        <v>6</v>
      </c>
      <c r="H2510" t="s">
        <v>60</v>
      </c>
      <c r="I2510">
        <v>2023</v>
      </c>
    </row>
    <row r="2511" spans="1:9" x14ac:dyDescent="0.3">
      <c r="A2511">
        <v>206121650</v>
      </c>
      <c r="B2511" s="1">
        <v>45116</v>
      </c>
      <c r="C2511" s="1">
        <v>45117</v>
      </c>
      <c r="D2511" t="s">
        <v>7</v>
      </c>
      <c r="E2511">
        <v>39</v>
      </c>
      <c r="F2511" t="s">
        <v>6</v>
      </c>
      <c r="G2511" s="19">
        <v>1</v>
      </c>
      <c r="H2511" t="s">
        <v>60</v>
      </c>
      <c r="I2511">
        <v>2023</v>
      </c>
    </row>
    <row r="2512" spans="1:9" x14ac:dyDescent="0.3">
      <c r="A2512">
        <v>218129819</v>
      </c>
      <c r="B2512" s="1">
        <v>45116</v>
      </c>
      <c r="C2512" s="1">
        <v>45141</v>
      </c>
      <c r="D2512" t="s">
        <v>7</v>
      </c>
      <c r="E2512">
        <v>39</v>
      </c>
      <c r="F2512" t="s">
        <v>6</v>
      </c>
      <c r="G2512" s="19">
        <v>25</v>
      </c>
      <c r="H2512" t="s">
        <v>60</v>
      </c>
      <c r="I2512">
        <v>2023</v>
      </c>
    </row>
    <row r="2513" spans="1:9" x14ac:dyDescent="0.3">
      <c r="A2513">
        <v>217766676</v>
      </c>
      <c r="B2513" s="1">
        <v>45116</v>
      </c>
      <c r="C2513" s="1">
        <v>45134</v>
      </c>
      <c r="D2513" t="s">
        <v>7</v>
      </c>
      <c r="E2513">
        <v>39</v>
      </c>
      <c r="F2513" t="s">
        <v>6</v>
      </c>
      <c r="G2513" s="19">
        <v>18</v>
      </c>
      <c r="H2513" t="s">
        <v>60</v>
      </c>
      <c r="I2513">
        <v>2023</v>
      </c>
    </row>
    <row r="2514" spans="1:9" x14ac:dyDescent="0.3">
      <c r="A2514">
        <v>216886336</v>
      </c>
      <c r="B2514" s="1">
        <v>45117</v>
      </c>
      <c r="D2514" t="s">
        <v>7</v>
      </c>
      <c r="E2514">
        <v>39</v>
      </c>
      <c r="F2514" t="s">
        <v>6</v>
      </c>
      <c r="H2514" t="s">
        <v>61</v>
      </c>
      <c r="I2514">
        <v>2023</v>
      </c>
    </row>
    <row r="2515" spans="1:9" x14ac:dyDescent="0.3">
      <c r="A2515">
        <v>217991032</v>
      </c>
      <c r="B2515" s="1">
        <v>45117</v>
      </c>
      <c r="D2515" t="s">
        <v>7</v>
      </c>
      <c r="E2515">
        <v>39</v>
      </c>
      <c r="F2515" t="s">
        <v>6</v>
      </c>
      <c r="H2515" t="s">
        <v>61</v>
      </c>
      <c r="I2515">
        <v>2023</v>
      </c>
    </row>
    <row r="2516" spans="1:9" x14ac:dyDescent="0.3">
      <c r="A2516">
        <v>145797162</v>
      </c>
      <c r="B2516" s="1">
        <v>45117</v>
      </c>
      <c r="D2516" t="s">
        <v>7</v>
      </c>
      <c r="E2516">
        <v>39</v>
      </c>
      <c r="F2516" t="s">
        <v>6</v>
      </c>
      <c r="H2516" t="s">
        <v>61</v>
      </c>
      <c r="I2516">
        <v>2023</v>
      </c>
    </row>
    <row r="2517" spans="1:9" x14ac:dyDescent="0.3">
      <c r="A2517">
        <v>217581606</v>
      </c>
      <c r="B2517" s="1">
        <v>45117</v>
      </c>
      <c r="D2517" t="s">
        <v>7</v>
      </c>
      <c r="E2517">
        <v>39</v>
      </c>
      <c r="F2517" t="s">
        <v>6</v>
      </c>
      <c r="H2517" t="s">
        <v>61</v>
      </c>
      <c r="I2517">
        <v>2023</v>
      </c>
    </row>
    <row r="2518" spans="1:9" x14ac:dyDescent="0.3">
      <c r="A2518">
        <v>218459038</v>
      </c>
      <c r="B2518" s="1">
        <v>45117</v>
      </c>
      <c r="C2518" s="1">
        <v>45118</v>
      </c>
      <c r="D2518" t="s">
        <v>7</v>
      </c>
      <c r="E2518">
        <v>39</v>
      </c>
      <c r="F2518" t="s">
        <v>6</v>
      </c>
      <c r="G2518" s="19">
        <v>1</v>
      </c>
      <c r="H2518" t="s">
        <v>61</v>
      </c>
      <c r="I2518">
        <v>2023</v>
      </c>
    </row>
    <row r="2519" spans="1:9" x14ac:dyDescent="0.3">
      <c r="A2519">
        <v>218526124</v>
      </c>
      <c r="B2519" s="1">
        <v>45117</v>
      </c>
      <c r="C2519" s="1">
        <v>45118</v>
      </c>
      <c r="D2519" t="s">
        <v>8</v>
      </c>
      <c r="E2519">
        <v>39</v>
      </c>
      <c r="F2519" t="s">
        <v>6</v>
      </c>
      <c r="G2519" s="19">
        <v>1</v>
      </c>
      <c r="H2519" t="s">
        <v>61</v>
      </c>
      <c r="I2519">
        <v>2023</v>
      </c>
    </row>
    <row r="2520" spans="1:9" x14ac:dyDescent="0.3">
      <c r="A2520">
        <v>216335430</v>
      </c>
      <c r="B2520" s="1">
        <v>45117</v>
      </c>
      <c r="C2520" s="1">
        <v>45117</v>
      </c>
      <c r="D2520" t="s">
        <v>8</v>
      </c>
      <c r="E2520">
        <v>39</v>
      </c>
      <c r="F2520" t="s">
        <v>6</v>
      </c>
      <c r="G2520" s="19">
        <v>0</v>
      </c>
      <c r="H2520" t="s">
        <v>61</v>
      </c>
      <c r="I2520">
        <v>2023</v>
      </c>
    </row>
    <row r="2521" spans="1:9" x14ac:dyDescent="0.3">
      <c r="A2521">
        <v>218519862</v>
      </c>
      <c r="B2521" s="1">
        <v>45117</v>
      </c>
      <c r="C2521" s="1">
        <v>45118</v>
      </c>
      <c r="D2521" t="s">
        <v>8</v>
      </c>
      <c r="E2521">
        <v>39</v>
      </c>
      <c r="F2521" t="s">
        <v>6</v>
      </c>
      <c r="G2521" s="19">
        <v>1</v>
      </c>
      <c r="H2521" t="s">
        <v>61</v>
      </c>
      <c r="I2521">
        <v>2023</v>
      </c>
    </row>
    <row r="2522" spans="1:9" x14ac:dyDescent="0.3">
      <c r="A2522">
        <v>218496811</v>
      </c>
      <c r="B2522" s="1">
        <v>45117</v>
      </c>
      <c r="C2522" s="1">
        <v>45117</v>
      </c>
      <c r="D2522" t="s">
        <v>8</v>
      </c>
      <c r="E2522">
        <v>39</v>
      </c>
      <c r="F2522" t="s">
        <v>6</v>
      </c>
      <c r="G2522" s="19">
        <v>0</v>
      </c>
      <c r="H2522" t="s">
        <v>61</v>
      </c>
      <c r="I2522">
        <v>2023</v>
      </c>
    </row>
    <row r="2523" spans="1:9" x14ac:dyDescent="0.3">
      <c r="A2523">
        <v>218490122</v>
      </c>
      <c r="B2523" s="1">
        <v>45117</v>
      </c>
      <c r="C2523" s="1">
        <v>45118</v>
      </c>
      <c r="D2523" t="s">
        <v>8</v>
      </c>
      <c r="E2523">
        <v>39</v>
      </c>
      <c r="F2523" t="s">
        <v>6</v>
      </c>
      <c r="G2523" s="19">
        <v>1</v>
      </c>
      <c r="H2523" t="s">
        <v>61</v>
      </c>
      <c r="I2523">
        <v>2023</v>
      </c>
    </row>
    <row r="2524" spans="1:9" x14ac:dyDescent="0.3">
      <c r="A2524">
        <v>216337502</v>
      </c>
      <c r="B2524" s="1">
        <v>45117</v>
      </c>
      <c r="C2524" s="1">
        <v>45117</v>
      </c>
      <c r="D2524" t="s">
        <v>8</v>
      </c>
      <c r="E2524">
        <v>39</v>
      </c>
      <c r="F2524" t="s">
        <v>6</v>
      </c>
      <c r="G2524" s="19">
        <v>0</v>
      </c>
      <c r="H2524" t="s">
        <v>61</v>
      </c>
      <c r="I2524">
        <v>2023</v>
      </c>
    </row>
    <row r="2525" spans="1:9" x14ac:dyDescent="0.3">
      <c r="A2525">
        <v>143111905</v>
      </c>
      <c r="B2525" s="1">
        <v>45117</v>
      </c>
      <c r="C2525" s="1">
        <v>45155</v>
      </c>
      <c r="D2525" t="s">
        <v>7</v>
      </c>
      <c r="E2525">
        <v>39</v>
      </c>
      <c r="F2525" t="s">
        <v>6</v>
      </c>
      <c r="G2525" s="19">
        <v>38</v>
      </c>
      <c r="H2525" t="s">
        <v>61</v>
      </c>
      <c r="I2525">
        <v>2023</v>
      </c>
    </row>
    <row r="2526" spans="1:9" x14ac:dyDescent="0.3">
      <c r="A2526">
        <v>217709772</v>
      </c>
      <c r="B2526" s="1">
        <v>45117</v>
      </c>
      <c r="C2526" s="1">
        <v>45150</v>
      </c>
      <c r="D2526" t="s">
        <v>7</v>
      </c>
      <c r="E2526">
        <v>39</v>
      </c>
      <c r="F2526" t="s">
        <v>6</v>
      </c>
      <c r="G2526" s="19">
        <v>33</v>
      </c>
      <c r="H2526" t="s">
        <v>61</v>
      </c>
      <c r="I2526">
        <v>2023</v>
      </c>
    </row>
    <row r="2527" spans="1:9" x14ac:dyDescent="0.3">
      <c r="A2527">
        <v>214924190</v>
      </c>
      <c r="B2527" s="1">
        <v>45117</v>
      </c>
      <c r="C2527" s="1">
        <v>45148</v>
      </c>
      <c r="D2527" t="s">
        <v>7</v>
      </c>
      <c r="E2527">
        <v>39</v>
      </c>
      <c r="F2527" t="s">
        <v>6</v>
      </c>
      <c r="G2527" s="19">
        <v>31</v>
      </c>
      <c r="H2527" t="s">
        <v>61</v>
      </c>
      <c r="I2527">
        <v>2023</v>
      </c>
    </row>
    <row r="2528" spans="1:9" x14ac:dyDescent="0.3">
      <c r="A2528">
        <v>217914198</v>
      </c>
      <c r="B2528" s="1">
        <v>45117</v>
      </c>
      <c r="C2528" s="1">
        <v>45137</v>
      </c>
      <c r="D2528" t="s">
        <v>7</v>
      </c>
      <c r="E2528">
        <v>39</v>
      </c>
      <c r="F2528" t="s">
        <v>6</v>
      </c>
      <c r="G2528" s="19">
        <v>20</v>
      </c>
      <c r="H2528" t="s">
        <v>61</v>
      </c>
      <c r="I2528">
        <v>2023</v>
      </c>
    </row>
    <row r="2529" spans="1:9" x14ac:dyDescent="0.3">
      <c r="A2529">
        <v>217773501</v>
      </c>
      <c r="B2529" s="1">
        <v>45117</v>
      </c>
      <c r="C2529" s="1">
        <v>45117</v>
      </c>
      <c r="D2529" t="s">
        <v>7</v>
      </c>
      <c r="E2529">
        <v>39</v>
      </c>
      <c r="F2529" t="s">
        <v>6</v>
      </c>
      <c r="G2529" s="19">
        <v>0</v>
      </c>
      <c r="H2529" t="s">
        <v>61</v>
      </c>
      <c r="I2529">
        <v>2023</v>
      </c>
    </row>
    <row r="2530" spans="1:9" x14ac:dyDescent="0.3">
      <c r="A2530">
        <v>215311765</v>
      </c>
      <c r="B2530" s="1">
        <v>45118</v>
      </c>
      <c r="D2530" t="s">
        <v>7</v>
      </c>
      <c r="E2530">
        <v>39</v>
      </c>
      <c r="F2530" t="s">
        <v>6</v>
      </c>
      <c r="H2530" t="s">
        <v>62</v>
      </c>
      <c r="I2530">
        <v>2023</v>
      </c>
    </row>
    <row r="2531" spans="1:9" x14ac:dyDescent="0.3">
      <c r="A2531">
        <v>218554220</v>
      </c>
      <c r="B2531" s="1">
        <v>45118</v>
      </c>
      <c r="D2531" t="s">
        <v>7</v>
      </c>
      <c r="E2531">
        <v>39</v>
      </c>
      <c r="F2531" t="s">
        <v>6</v>
      </c>
      <c r="H2531" t="s">
        <v>62</v>
      </c>
      <c r="I2531">
        <v>2023</v>
      </c>
    </row>
    <row r="2532" spans="1:9" x14ac:dyDescent="0.3">
      <c r="A2532">
        <v>209743418</v>
      </c>
      <c r="B2532" s="1">
        <v>45118</v>
      </c>
      <c r="D2532" t="s">
        <v>7</v>
      </c>
      <c r="E2532">
        <v>39</v>
      </c>
      <c r="F2532" t="s">
        <v>6</v>
      </c>
      <c r="H2532" t="s">
        <v>62</v>
      </c>
      <c r="I2532">
        <v>2023</v>
      </c>
    </row>
    <row r="2533" spans="1:9" x14ac:dyDescent="0.3">
      <c r="A2533">
        <v>218553244</v>
      </c>
      <c r="B2533" s="1">
        <v>45118</v>
      </c>
      <c r="D2533" t="s">
        <v>7</v>
      </c>
      <c r="E2533">
        <v>39</v>
      </c>
      <c r="F2533" t="s">
        <v>6</v>
      </c>
      <c r="H2533" t="s">
        <v>62</v>
      </c>
      <c r="I2533">
        <v>2023</v>
      </c>
    </row>
    <row r="2534" spans="1:9" x14ac:dyDescent="0.3">
      <c r="A2534">
        <v>218548492</v>
      </c>
      <c r="B2534" s="1">
        <v>45118</v>
      </c>
      <c r="D2534" t="s">
        <v>7</v>
      </c>
      <c r="E2534">
        <v>39</v>
      </c>
      <c r="F2534" t="s">
        <v>6</v>
      </c>
      <c r="H2534" t="s">
        <v>62</v>
      </c>
      <c r="I2534">
        <v>2023</v>
      </c>
    </row>
    <row r="2535" spans="1:9" x14ac:dyDescent="0.3">
      <c r="A2535">
        <v>217958138</v>
      </c>
      <c r="B2535" s="1">
        <v>45118</v>
      </c>
      <c r="D2535" t="s">
        <v>7</v>
      </c>
      <c r="E2535">
        <v>39</v>
      </c>
      <c r="F2535" t="s">
        <v>6</v>
      </c>
      <c r="H2535" t="s">
        <v>62</v>
      </c>
      <c r="I2535">
        <v>2023</v>
      </c>
    </row>
    <row r="2536" spans="1:9" x14ac:dyDescent="0.3">
      <c r="A2536">
        <v>218365623</v>
      </c>
      <c r="B2536" s="1">
        <v>45118</v>
      </c>
      <c r="D2536" t="s">
        <v>7</v>
      </c>
      <c r="E2536">
        <v>39</v>
      </c>
      <c r="F2536" t="s">
        <v>6</v>
      </c>
      <c r="H2536" t="s">
        <v>62</v>
      </c>
      <c r="I2536">
        <v>2023</v>
      </c>
    </row>
    <row r="2537" spans="1:9" x14ac:dyDescent="0.3">
      <c r="A2537">
        <v>218512642</v>
      </c>
      <c r="B2537" s="1">
        <v>45118</v>
      </c>
      <c r="D2537" t="s">
        <v>7</v>
      </c>
      <c r="E2537">
        <v>39</v>
      </c>
      <c r="F2537" t="s">
        <v>6</v>
      </c>
      <c r="H2537" t="s">
        <v>62</v>
      </c>
      <c r="I2537">
        <v>2023</v>
      </c>
    </row>
    <row r="2538" spans="1:9" x14ac:dyDescent="0.3">
      <c r="A2538">
        <v>218569099</v>
      </c>
      <c r="B2538" s="1">
        <v>45118</v>
      </c>
      <c r="C2538" s="1">
        <v>45174</v>
      </c>
      <c r="D2538" t="s">
        <v>7</v>
      </c>
      <c r="E2538">
        <v>39</v>
      </c>
      <c r="F2538" t="s">
        <v>6</v>
      </c>
      <c r="G2538" s="19">
        <v>56</v>
      </c>
      <c r="H2538" t="s">
        <v>62</v>
      </c>
      <c r="I2538">
        <v>2023</v>
      </c>
    </row>
    <row r="2539" spans="1:9" x14ac:dyDescent="0.3">
      <c r="A2539">
        <v>218304590</v>
      </c>
      <c r="B2539" s="1">
        <v>45118</v>
      </c>
      <c r="C2539" s="1">
        <v>45168</v>
      </c>
      <c r="D2539" t="s">
        <v>7</v>
      </c>
      <c r="E2539">
        <v>39</v>
      </c>
      <c r="F2539" t="s">
        <v>6</v>
      </c>
      <c r="G2539" s="19">
        <v>50</v>
      </c>
      <c r="H2539" t="s">
        <v>62</v>
      </c>
      <c r="I2539">
        <v>2023</v>
      </c>
    </row>
    <row r="2540" spans="1:9" x14ac:dyDescent="0.3">
      <c r="A2540">
        <v>215390636</v>
      </c>
      <c r="B2540" s="1">
        <v>45118</v>
      </c>
      <c r="C2540" s="1">
        <v>45176</v>
      </c>
      <c r="D2540" t="s">
        <v>7</v>
      </c>
      <c r="E2540">
        <v>39</v>
      </c>
      <c r="F2540" t="s">
        <v>6</v>
      </c>
      <c r="G2540" s="19">
        <v>58</v>
      </c>
      <c r="H2540" t="s">
        <v>62</v>
      </c>
      <c r="I2540">
        <v>2023</v>
      </c>
    </row>
    <row r="2541" spans="1:9" x14ac:dyDescent="0.3">
      <c r="A2541">
        <v>218538760</v>
      </c>
      <c r="B2541" s="1">
        <v>45118</v>
      </c>
      <c r="C2541" s="1">
        <v>45156</v>
      </c>
      <c r="D2541" t="s">
        <v>7</v>
      </c>
      <c r="E2541">
        <v>39</v>
      </c>
      <c r="F2541" t="s">
        <v>6</v>
      </c>
      <c r="G2541" s="19">
        <v>38</v>
      </c>
      <c r="H2541" t="s">
        <v>62</v>
      </c>
      <c r="I2541">
        <v>2023</v>
      </c>
    </row>
    <row r="2542" spans="1:9" x14ac:dyDescent="0.3">
      <c r="A2542">
        <v>218544489</v>
      </c>
      <c r="B2542" s="1">
        <v>45118</v>
      </c>
      <c r="C2542" s="1">
        <v>45149</v>
      </c>
      <c r="D2542" t="s">
        <v>7</v>
      </c>
      <c r="E2542">
        <v>39</v>
      </c>
      <c r="F2542" t="s">
        <v>6</v>
      </c>
      <c r="G2542" s="19">
        <v>31</v>
      </c>
      <c r="H2542" t="s">
        <v>62</v>
      </c>
      <c r="I2542">
        <v>2023</v>
      </c>
    </row>
    <row r="2543" spans="1:9" x14ac:dyDescent="0.3">
      <c r="A2543">
        <v>180161087</v>
      </c>
      <c r="B2543" s="1">
        <v>45118</v>
      </c>
      <c r="C2543" s="1">
        <v>45148</v>
      </c>
      <c r="D2543" t="s">
        <v>7</v>
      </c>
      <c r="E2543">
        <v>39</v>
      </c>
      <c r="F2543" t="s">
        <v>6</v>
      </c>
      <c r="G2543" s="19">
        <v>30</v>
      </c>
      <c r="H2543" t="s">
        <v>62</v>
      </c>
      <c r="I2543">
        <v>2023</v>
      </c>
    </row>
    <row r="2544" spans="1:9" x14ac:dyDescent="0.3">
      <c r="A2544">
        <v>218484551</v>
      </c>
      <c r="B2544" s="1">
        <v>45118</v>
      </c>
      <c r="C2544" s="1">
        <v>45156</v>
      </c>
      <c r="D2544" t="s">
        <v>7</v>
      </c>
      <c r="E2544">
        <v>39</v>
      </c>
      <c r="F2544" t="s">
        <v>6</v>
      </c>
      <c r="G2544" s="19">
        <v>38</v>
      </c>
      <c r="H2544" t="s">
        <v>62</v>
      </c>
      <c r="I2544">
        <v>2023</v>
      </c>
    </row>
    <row r="2545" spans="1:9" x14ac:dyDescent="0.3">
      <c r="A2545">
        <v>218570737</v>
      </c>
      <c r="B2545" s="1">
        <v>45118</v>
      </c>
      <c r="C2545" s="1">
        <v>45119</v>
      </c>
      <c r="D2545" t="s">
        <v>7</v>
      </c>
      <c r="E2545">
        <v>39</v>
      </c>
      <c r="F2545" t="s">
        <v>6</v>
      </c>
      <c r="G2545" s="19">
        <v>1</v>
      </c>
      <c r="H2545" t="s">
        <v>62</v>
      </c>
      <c r="I2545">
        <v>2023</v>
      </c>
    </row>
    <row r="2546" spans="1:9" x14ac:dyDescent="0.3">
      <c r="A2546">
        <v>218526607</v>
      </c>
      <c r="B2546" s="1">
        <v>45119</v>
      </c>
      <c r="D2546" t="s">
        <v>7</v>
      </c>
      <c r="E2546">
        <v>39</v>
      </c>
      <c r="F2546" t="s">
        <v>6</v>
      </c>
      <c r="H2546" t="s">
        <v>63</v>
      </c>
      <c r="I2546">
        <v>2023</v>
      </c>
    </row>
    <row r="2547" spans="1:9" x14ac:dyDescent="0.3">
      <c r="A2547">
        <v>211011508</v>
      </c>
      <c r="B2547" s="1">
        <v>45119</v>
      </c>
      <c r="D2547" t="s">
        <v>7</v>
      </c>
      <c r="E2547">
        <v>39</v>
      </c>
      <c r="F2547" t="s">
        <v>6</v>
      </c>
      <c r="H2547" t="s">
        <v>63</v>
      </c>
      <c r="I2547">
        <v>2023</v>
      </c>
    </row>
    <row r="2548" spans="1:9" x14ac:dyDescent="0.3">
      <c r="A2548">
        <v>218610100</v>
      </c>
      <c r="B2548" s="1">
        <v>45119</v>
      </c>
      <c r="D2548" t="s">
        <v>7</v>
      </c>
      <c r="E2548">
        <v>39</v>
      </c>
      <c r="F2548" t="s">
        <v>6</v>
      </c>
      <c r="H2548" t="s">
        <v>63</v>
      </c>
      <c r="I2548">
        <v>2023</v>
      </c>
    </row>
    <row r="2549" spans="1:9" x14ac:dyDescent="0.3">
      <c r="A2549">
        <v>206055148</v>
      </c>
      <c r="B2549" s="1">
        <v>45119</v>
      </c>
      <c r="D2549" t="s">
        <v>7</v>
      </c>
      <c r="E2549">
        <v>39</v>
      </c>
      <c r="F2549" t="s">
        <v>6</v>
      </c>
      <c r="H2549" t="s">
        <v>63</v>
      </c>
      <c r="I2549">
        <v>2023</v>
      </c>
    </row>
    <row r="2550" spans="1:9" x14ac:dyDescent="0.3">
      <c r="A2550">
        <v>150509877</v>
      </c>
      <c r="B2550" s="1">
        <v>45119</v>
      </c>
      <c r="D2550" t="s">
        <v>7</v>
      </c>
      <c r="E2550">
        <v>39</v>
      </c>
      <c r="F2550" t="s">
        <v>6</v>
      </c>
      <c r="H2550" t="s">
        <v>63</v>
      </c>
      <c r="I2550">
        <v>2023</v>
      </c>
    </row>
    <row r="2551" spans="1:9" x14ac:dyDescent="0.3">
      <c r="A2551">
        <v>218498112</v>
      </c>
      <c r="B2551" s="1">
        <v>45119</v>
      </c>
      <c r="D2551" t="s">
        <v>7</v>
      </c>
      <c r="E2551">
        <v>39</v>
      </c>
      <c r="F2551" t="s">
        <v>6</v>
      </c>
      <c r="H2551" t="s">
        <v>63</v>
      </c>
      <c r="I2551">
        <v>2023</v>
      </c>
    </row>
    <row r="2552" spans="1:9" x14ac:dyDescent="0.3">
      <c r="A2552">
        <v>218624538</v>
      </c>
      <c r="B2552" s="1">
        <v>45119</v>
      </c>
      <c r="C2552" s="1">
        <v>45160</v>
      </c>
      <c r="D2552" t="s">
        <v>7</v>
      </c>
      <c r="E2552">
        <v>39</v>
      </c>
      <c r="F2552" t="s">
        <v>6</v>
      </c>
      <c r="G2552" s="19">
        <v>41</v>
      </c>
      <c r="H2552" t="s">
        <v>63</v>
      </c>
      <c r="I2552">
        <v>2023</v>
      </c>
    </row>
    <row r="2553" spans="1:9" x14ac:dyDescent="0.3">
      <c r="A2553">
        <v>218467300</v>
      </c>
      <c r="B2553" s="1">
        <v>45119</v>
      </c>
      <c r="C2553" s="1">
        <v>45151</v>
      </c>
      <c r="D2553" t="s">
        <v>7</v>
      </c>
      <c r="E2553">
        <v>39</v>
      </c>
      <c r="F2553" t="s">
        <v>6</v>
      </c>
      <c r="G2553" s="19">
        <v>32</v>
      </c>
      <c r="H2553" t="s">
        <v>63</v>
      </c>
      <c r="I2553">
        <v>2023</v>
      </c>
    </row>
    <row r="2554" spans="1:9" x14ac:dyDescent="0.3">
      <c r="A2554">
        <v>218509554</v>
      </c>
      <c r="B2554" s="1">
        <v>45119</v>
      </c>
      <c r="C2554" s="1">
        <v>45129</v>
      </c>
      <c r="D2554" t="s">
        <v>7</v>
      </c>
      <c r="E2554">
        <v>39</v>
      </c>
      <c r="F2554" t="s">
        <v>6</v>
      </c>
      <c r="G2554" s="19">
        <v>10</v>
      </c>
      <c r="H2554" t="s">
        <v>63</v>
      </c>
      <c r="I2554">
        <v>2023</v>
      </c>
    </row>
    <row r="2555" spans="1:9" x14ac:dyDescent="0.3">
      <c r="A2555">
        <v>218257588</v>
      </c>
      <c r="B2555" s="1">
        <v>45120</v>
      </c>
      <c r="D2555" t="s">
        <v>7</v>
      </c>
      <c r="E2555">
        <v>39</v>
      </c>
      <c r="F2555" t="s">
        <v>6</v>
      </c>
      <c r="H2555" t="s">
        <v>64</v>
      </c>
      <c r="I2555">
        <v>2023</v>
      </c>
    </row>
    <row r="2556" spans="1:9" x14ac:dyDescent="0.3">
      <c r="A2556">
        <v>218114325</v>
      </c>
      <c r="B2556" s="1">
        <v>45120</v>
      </c>
      <c r="D2556" t="s">
        <v>7</v>
      </c>
      <c r="E2556">
        <v>39</v>
      </c>
      <c r="F2556" t="s">
        <v>6</v>
      </c>
      <c r="H2556" t="s">
        <v>64</v>
      </c>
      <c r="I2556">
        <v>2023</v>
      </c>
    </row>
    <row r="2557" spans="1:9" x14ac:dyDescent="0.3">
      <c r="A2557">
        <v>218325441</v>
      </c>
      <c r="B2557" s="1">
        <v>45120</v>
      </c>
      <c r="D2557" t="s">
        <v>7</v>
      </c>
      <c r="E2557">
        <v>39</v>
      </c>
      <c r="F2557" t="s">
        <v>6</v>
      </c>
      <c r="H2557" t="s">
        <v>64</v>
      </c>
      <c r="I2557">
        <v>2023</v>
      </c>
    </row>
    <row r="2558" spans="1:9" x14ac:dyDescent="0.3">
      <c r="A2558">
        <v>218235047</v>
      </c>
      <c r="B2558" s="1">
        <v>45120</v>
      </c>
      <c r="D2558" t="s">
        <v>7</v>
      </c>
      <c r="E2558">
        <v>39</v>
      </c>
      <c r="F2558" t="s">
        <v>6</v>
      </c>
      <c r="H2558" t="s">
        <v>64</v>
      </c>
      <c r="I2558">
        <v>2023</v>
      </c>
    </row>
    <row r="2559" spans="1:9" x14ac:dyDescent="0.3">
      <c r="A2559">
        <v>218598866</v>
      </c>
      <c r="B2559" s="1">
        <v>45120</v>
      </c>
      <c r="D2559" t="s">
        <v>7</v>
      </c>
      <c r="E2559">
        <v>39</v>
      </c>
      <c r="F2559" t="s">
        <v>6</v>
      </c>
      <c r="H2559" t="s">
        <v>64</v>
      </c>
      <c r="I2559">
        <v>2023</v>
      </c>
    </row>
    <row r="2560" spans="1:9" x14ac:dyDescent="0.3">
      <c r="A2560">
        <v>218644881</v>
      </c>
      <c r="B2560" s="1">
        <v>45120</v>
      </c>
      <c r="C2560" s="1">
        <v>45154</v>
      </c>
      <c r="D2560" t="s">
        <v>7</v>
      </c>
      <c r="E2560">
        <v>39</v>
      </c>
      <c r="F2560" t="s">
        <v>6</v>
      </c>
      <c r="G2560" s="19">
        <v>34</v>
      </c>
      <c r="H2560" t="s">
        <v>64</v>
      </c>
      <c r="I2560">
        <v>2023</v>
      </c>
    </row>
    <row r="2561" spans="1:9" x14ac:dyDescent="0.3">
      <c r="A2561">
        <v>218509727</v>
      </c>
      <c r="B2561" s="1">
        <v>45120</v>
      </c>
      <c r="C2561" s="1">
        <v>45147</v>
      </c>
      <c r="D2561" t="s">
        <v>7</v>
      </c>
      <c r="E2561">
        <v>39</v>
      </c>
      <c r="F2561" t="s">
        <v>6</v>
      </c>
      <c r="G2561" s="19">
        <v>27</v>
      </c>
      <c r="H2561" t="s">
        <v>64</v>
      </c>
      <c r="I2561">
        <v>2023</v>
      </c>
    </row>
    <row r="2562" spans="1:9" x14ac:dyDescent="0.3">
      <c r="A2562">
        <v>150623785</v>
      </c>
      <c r="B2562" s="1">
        <v>45120</v>
      </c>
      <c r="C2562" s="1">
        <v>45152</v>
      </c>
      <c r="D2562" t="s">
        <v>7</v>
      </c>
      <c r="E2562">
        <v>39</v>
      </c>
      <c r="F2562" t="s">
        <v>6</v>
      </c>
      <c r="G2562" s="19">
        <v>32</v>
      </c>
      <c r="H2562" t="s">
        <v>64</v>
      </c>
      <c r="I2562">
        <v>2023</v>
      </c>
    </row>
    <row r="2563" spans="1:9" x14ac:dyDescent="0.3">
      <c r="A2563">
        <v>218586552</v>
      </c>
      <c r="B2563" s="1">
        <v>45120</v>
      </c>
      <c r="C2563" s="1">
        <v>45152</v>
      </c>
      <c r="D2563" t="s">
        <v>7</v>
      </c>
      <c r="E2563">
        <v>39</v>
      </c>
      <c r="F2563" t="s">
        <v>6</v>
      </c>
      <c r="G2563" s="19">
        <v>32</v>
      </c>
      <c r="H2563" t="s">
        <v>64</v>
      </c>
      <c r="I2563">
        <v>2023</v>
      </c>
    </row>
    <row r="2564" spans="1:9" x14ac:dyDescent="0.3">
      <c r="A2564">
        <v>218514844</v>
      </c>
      <c r="B2564" s="1">
        <v>45120</v>
      </c>
      <c r="C2564" s="1">
        <v>45124</v>
      </c>
      <c r="D2564" t="s">
        <v>7</v>
      </c>
      <c r="E2564">
        <v>39</v>
      </c>
      <c r="F2564" t="s">
        <v>6</v>
      </c>
      <c r="G2564" s="19">
        <v>4</v>
      </c>
      <c r="H2564" t="s">
        <v>64</v>
      </c>
      <c r="I2564">
        <v>2023</v>
      </c>
    </row>
    <row r="2565" spans="1:9" x14ac:dyDescent="0.3">
      <c r="A2565">
        <v>218694806</v>
      </c>
      <c r="B2565" s="1">
        <v>45121</v>
      </c>
      <c r="D2565" t="s">
        <v>7</v>
      </c>
      <c r="E2565">
        <v>39</v>
      </c>
      <c r="F2565" t="s">
        <v>6</v>
      </c>
      <c r="H2565" t="s">
        <v>65</v>
      </c>
      <c r="I2565">
        <v>2023</v>
      </c>
    </row>
    <row r="2566" spans="1:9" x14ac:dyDescent="0.3">
      <c r="A2566">
        <v>218678174</v>
      </c>
      <c r="B2566" s="1">
        <v>45121</v>
      </c>
      <c r="D2566" t="s">
        <v>7</v>
      </c>
      <c r="E2566">
        <v>39</v>
      </c>
      <c r="F2566" t="s">
        <v>6</v>
      </c>
      <c r="H2566" t="s">
        <v>65</v>
      </c>
      <c r="I2566">
        <v>2023</v>
      </c>
    </row>
    <row r="2567" spans="1:9" x14ac:dyDescent="0.3">
      <c r="A2567">
        <v>218695487</v>
      </c>
      <c r="B2567" s="1">
        <v>45121</v>
      </c>
      <c r="C2567" s="1">
        <v>45177</v>
      </c>
      <c r="D2567" t="s">
        <v>7</v>
      </c>
      <c r="E2567">
        <v>39</v>
      </c>
      <c r="F2567" t="s">
        <v>6</v>
      </c>
      <c r="G2567" s="19">
        <v>56</v>
      </c>
      <c r="H2567" t="s">
        <v>65</v>
      </c>
      <c r="I2567">
        <v>2023</v>
      </c>
    </row>
    <row r="2568" spans="1:9" x14ac:dyDescent="0.3">
      <c r="A2568">
        <v>218678790</v>
      </c>
      <c r="B2568" s="1">
        <v>45121</v>
      </c>
      <c r="C2568" s="1">
        <v>45159</v>
      </c>
      <c r="D2568" t="s">
        <v>7</v>
      </c>
      <c r="E2568">
        <v>39</v>
      </c>
      <c r="F2568" t="s">
        <v>6</v>
      </c>
      <c r="G2568" s="19">
        <v>38</v>
      </c>
      <c r="H2568" t="s">
        <v>65</v>
      </c>
      <c r="I2568">
        <v>2023</v>
      </c>
    </row>
    <row r="2569" spans="1:9" x14ac:dyDescent="0.3">
      <c r="A2569">
        <v>217499098</v>
      </c>
      <c r="B2569" s="1">
        <v>45121</v>
      </c>
      <c r="C2569" s="1">
        <v>45159</v>
      </c>
      <c r="D2569" t="s">
        <v>7</v>
      </c>
      <c r="E2569">
        <v>39</v>
      </c>
      <c r="F2569" t="s">
        <v>6</v>
      </c>
      <c r="G2569" s="19">
        <v>38</v>
      </c>
      <c r="H2569" t="s">
        <v>65</v>
      </c>
      <c r="I2569">
        <v>2023</v>
      </c>
    </row>
    <row r="2570" spans="1:9" x14ac:dyDescent="0.3">
      <c r="A2570">
        <v>217976753</v>
      </c>
      <c r="B2570" s="1">
        <v>45121</v>
      </c>
      <c r="C2570" s="1">
        <v>45159</v>
      </c>
      <c r="D2570" t="s">
        <v>7</v>
      </c>
      <c r="E2570">
        <v>39</v>
      </c>
      <c r="F2570" t="s">
        <v>6</v>
      </c>
      <c r="G2570" s="19">
        <v>38</v>
      </c>
      <c r="H2570" t="s">
        <v>65</v>
      </c>
      <c r="I2570">
        <v>2023</v>
      </c>
    </row>
    <row r="2571" spans="1:9" x14ac:dyDescent="0.3">
      <c r="A2571">
        <v>199359226</v>
      </c>
      <c r="B2571" s="1">
        <v>45121</v>
      </c>
      <c r="C2571" s="1">
        <v>45122</v>
      </c>
      <c r="D2571" t="s">
        <v>7</v>
      </c>
      <c r="E2571">
        <v>39</v>
      </c>
      <c r="F2571" t="s">
        <v>6</v>
      </c>
      <c r="G2571" s="19">
        <v>1</v>
      </c>
      <c r="H2571" t="s">
        <v>65</v>
      </c>
      <c r="I2571">
        <v>2023</v>
      </c>
    </row>
    <row r="2572" spans="1:9" x14ac:dyDescent="0.3">
      <c r="A2572">
        <v>121814098</v>
      </c>
      <c r="B2572" s="1">
        <v>45122</v>
      </c>
      <c r="D2572" t="s">
        <v>7</v>
      </c>
      <c r="E2572">
        <v>39</v>
      </c>
      <c r="F2572" t="s">
        <v>6</v>
      </c>
      <c r="H2572" t="s">
        <v>66</v>
      </c>
      <c r="I2572">
        <v>2023</v>
      </c>
    </row>
    <row r="2573" spans="1:9" x14ac:dyDescent="0.3">
      <c r="A2573">
        <v>215605718</v>
      </c>
      <c r="B2573" s="1">
        <v>45122</v>
      </c>
      <c r="D2573" t="s">
        <v>7</v>
      </c>
      <c r="E2573">
        <v>39</v>
      </c>
      <c r="F2573" t="s">
        <v>6</v>
      </c>
      <c r="H2573" t="s">
        <v>66</v>
      </c>
      <c r="I2573">
        <v>2023</v>
      </c>
    </row>
    <row r="2574" spans="1:9" x14ac:dyDescent="0.3">
      <c r="A2574">
        <v>218325705</v>
      </c>
      <c r="B2574" s="1">
        <v>45122</v>
      </c>
      <c r="D2574" t="s">
        <v>7</v>
      </c>
      <c r="E2574">
        <v>39</v>
      </c>
      <c r="F2574" t="s">
        <v>6</v>
      </c>
      <c r="H2574" t="s">
        <v>66</v>
      </c>
      <c r="I2574">
        <v>2023</v>
      </c>
    </row>
    <row r="2575" spans="1:9" x14ac:dyDescent="0.3">
      <c r="A2575">
        <v>208598253</v>
      </c>
      <c r="B2575" s="1">
        <v>45122</v>
      </c>
      <c r="D2575" t="s">
        <v>7</v>
      </c>
      <c r="E2575">
        <v>39</v>
      </c>
      <c r="F2575" t="s">
        <v>6</v>
      </c>
      <c r="H2575" t="s">
        <v>66</v>
      </c>
      <c r="I2575">
        <v>2023</v>
      </c>
    </row>
    <row r="2576" spans="1:9" x14ac:dyDescent="0.3">
      <c r="A2576">
        <v>218655628</v>
      </c>
      <c r="B2576" s="1">
        <v>45122</v>
      </c>
      <c r="D2576" t="s">
        <v>7</v>
      </c>
      <c r="E2576">
        <v>39</v>
      </c>
      <c r="F2576" t="s">
        <v>6</v>
      </c>
      <c r="H2576" t="s">
        <v>66</v>
      </c>
      <c r="I2576">
        <v>2023</v>
      </c>
    </row>
    <row r="2577" spans="1:9" x14ac:dyDescent="0.3">
      <c r="A2577">
        <v>185602413</v>
      </c>
      <c r="B2577" s="1">
        <v>45122</v>
      </c>
      <c r="C2577" s="1">
        <v>45123</v>
      </c>
      <c r="D2577" t="s">
        <v>7</v>
      </c>
      <c r="E2577">
        <v>39</v>
      </c>
      <c r="F2577" t="s">
        <v>6</v>
      </c>
      <c r="G2577" s="19">
        <v>1</v>
      </c>
      <c r="H2577" t="s">
        <v>66</v>
      </c>
      <c r="I2577">
        <v>2023</v>
      </c>
    </row>
    <row r="2578" spans="1:9" x14ac:dyDescent="0.3">
      <c r="A2578">
        <v>154082747</v>
      </c>
      <c r="B2578" s="1">
        <v>45122</v>
      </c>
      <c r="C2578" s="1">
        <v>45130</v>
      </c>
      <c r="D2578" t="s">
        <v>7</v>
      </c>
      <c r="E2578">
        <v>39</v>
      </c>
      <c r="F2578" t="s">
        <v>6</v>
      </c>
      <c r="G2578" s="19">
        <v>8</v>
      </c>
      <c r="H2578" t="s">
        <v>66</v>
      </c>
      <c r="I2578">
        <v>2023</v>
      </c>
    </row>
    <row r="2579" spans="1:9" x14ac:dyDescent="0.3">
      <c r="A2579">
        <v>218017402</v>
      </c>
      <c r="B2579" s="1">
        <v>45122</v>
      </c>
      <c r="C2579" s="1">
        <v>45160</v>
      </c>
      <c r="D2579" t="s">
        <v>7</v>
      </c>
      <c r="E2579">
        <v>39</v>
      </c>
      <c r="F2579" t="s">
        <v>6</v>
      </c>
      <c r="G2579" s="19">
        <v>38</v>
      </c>
      <c r="H2579" t="s">
        <v>66</v>
      </c>
      <c r="I2579">
        <v>2023</v>
      </c>
    </row>
    <row r="2580" spans="1:9" x14ac:dyDescent="0.3">
      <c r="A2580">
        <v>218792880</v>
      </c>
      <c r="B2580" s="1">
        <v>45123</v>
      </c>
      <c r="D2580" t="s">
        <v>7</v>
      </c>
      <c r="E2580">
        <v>39</v>
      </c>
      <c r="F2580" t="s">
        <v>6</v>
      </c>
      <c r="H2580" t="s">
        <v>60</v>
      </c>
      <c r="I2580">
        <v>2023</v>
      </c>
    </row>
    <row r="2581" spans="1:9" x14ac:dyDescent="0.3">
      <c r="A2581">
        <v>218761808</v>
      </c>
      <c r="B2581" s="1">
        <v>45123</v>
      </c>
      <c r="D2581" t="s">
        <v>7</v>
      </c>
      <c r="E2581">
        <v>39</v>
      </c>
      <c r="F2581" t="s">
        <v>6</v>
      </c>
      <c r="H2581" t="s">
        <v>60</v>
      </c>
      <c r="I2581">
        <v>2023</v>
      </c>
    </row>
    <row r="2582" spans="1:9" x14ac:dyDescent="0.3">
      <c r="A2582">
        <v>149303812</v>
      </c>
      <c r="B2582" s="1">
        <v>45123</v>
      </c>
      <c r="D2582" t="s">
        <v>7</v>
      </c>
      <c r="E2582">
        <v>39</v>
      </c>
      <c r="F2582" t="s">
        <v>6</v>
      </c>
      <c r="H2582" t="s">
        <v>60</v>
      </c>
      <c r="I2582">
        <v>2023</v>
      </c>
    </row>
    <row r="2583" spans="1:9" x14ac:dyDescent="0.3">
      <c r="A2583">
        <v>216144261</v>
      </c>
      <c r="B2583" s="1">
        <v>45123</v>
      </c>
      <c r="D2583" t="s">
        <v>7</v>
      </c>
      <c r="E2583">
        <v>39</v>
      </c>
      <c r="F2583" t="s">
        <v>6</v>
      </c>
      <c r="H2583" t="s">
        <v>60</v>
      </c>
      <c r="I2583">
        <v>2023</v>
      </c>
    </row>
    <row r="2584" spans="1:9" x14ac:dyDescent="0.3">
      <c r="A2584">
        <v>215976742</v>
      </c>
      <c r="B2584" s="1">
        <v>45123</v>
      </c>
      <c r="D2584" t="s">
        <v>7</v>
      </c>
      <c r="E2584">
        <v>39</v>
      </c>
      <c r="F2584" t="s">
        <v>6</v>
      </c>
      <c r="H2584" t="s">
        <v>60</v>
      </c>
      <c r="I2584">
        <v>2023</v>
      </c>
    </row>
    <row r="2585" spans="1:9" x14ac:dyDescent="0.3">
      <c r="A2585">
        <v>218617631</v>
      </c>
      <c r="B2585" s="1">
        <v>45123</v>
      </c>
      <c r="C2585" s="1">
        <v>45161</v>
      </c>
      <c r="D2585" t="s">
        <v>7</v>
      </c>
      <c r="E2585">
        <v>39</v>
      </c>
      <c r="F2585" t="s">
        <v>6</v>
      </c>
      <c r="G2585" s="19">
        <v>38</v>
      </c>
      <c r="H2585" t="s">
        <v>60</v>
      </c>
      <c r="I2585">
        <v>2023</v>
      </c>
    </row>
    <row r="2586" spans="1:9" x14ac:dyDescent="0.3">
      <c r="A2586">
        <v>218770458</v>
      </c>
      <c r="B2586" s="1">
        <v>45123</v>
      </c>
      <c r="C2586" s="1">
        <v>45141</v>
      </c>
      <c r="D2586" t="s">
        <v>7</v>
      </c>
      <c r="E2586">
        <v>39</v>
      </c>
      <c r="F2586" t="s">
        <v>6</v>
      </c>
      <c r="G2586" s="19">
        <v>18</v>
      </c>
      <c r="H2586" t="s">
        <v>60</v>
      </c>
      <c r="I2586">
        <v>2023</v>
      </c>
    </row>
    <row r="2587" spans="1:9" x14ac:dyDescent="0.3">
      <c r="A2587">
        <v>218720472</v>
      </c>
      <c r="B2587" s="1">
        <v>45123</v>
      </c>
      <c r="C2587" s="1">
        <v>45157</v>
      </c>
      <c r="D2587" t="s">
        <v>7</v>
      </c>
      <c r="E2587">
        <v>39</v>
      </c>
      <c r="F2587" t="s">
        <v>6</v>
      </c>
      <c r="G2587" s="19">
        <v>34</v>
      </c>
      <c r="H2587" t="s">
        <v>60</v>
      </c>
      <c r="I2587">
        <v>2023</v>
      </c>
    </row>
    <row r="2588" spans="1:9" x14ac:dyDescent="0.3">
      <c r="A2588">
        <v>218846909</v>
      </c>
      <c r="B2588" s="1">
        <v>45124</v>
      </c>
      <c r="D2588" t="s">
        <v>7</v>
      </c>
      <c r="E2588">
        <v>39</v>
      </c>
      <c r="F2588" t="s">
        <v>6</v>
      </c>
      <c r="H2588" t="s">
        <v>61</v>
      </c>
      <c r="I2588">
        <v>2023</v>
      </c>
    </row>
    <row r="2589" spans="1:9" x14ac:dyDescent="0.3">
      <c r="A2589">
        <v>214714278</v>
      </c>
      <c r="B2589" s="1">
        <v>45124</v>
      </c>
      <c r="D2589" t="s">
        <v>7</v>
      </c>
      <c r="E2589">
        <v>39</v>
      </c>
      <c r="F2589" t="s">
        <v>6</v>
      </c>
      <c r="H2589" t="s">
        <v>61</v>
      </c>
      <c r="I2589">
        <v>2023</v>
      </c>
    </row>
    <row r="2590" spans="1:9" x14ac:dyDescent="0.3">
      <c r="A2590">
        <v>218529158</v>
      </c>
      <c r="B2590" s="1">
        <v>45124</v>
      </c>
      <c r="D2590" t="s">
        <v>7</v>
      </c>
      <c r="E2590">
        <v>39</v>
      </c>
      <c r="F2590" t="s">
        <v>6</v>
      </c>
      <c r="H2590" t="s">
        <v>61</v>
      </c>
      <c r="I2590">
        <v>2023</v>
      </c>
    </row>
    <row r="2591" spans="1:9" x14ac:dyDescent="0.3">
      <c r="A2591">
        <v>218837719</v>
      </c>
      <c r="B2591" s="1">
        <v>45124</v>
      </c>
      <c r="D2591" t="s">
        <v>7</v>
      </c>
      <c r="E2591">
        <v>39</v>
      </c>
      <c r="F2591" t="s">
        <v>6</v>
      </c>
      <c r="H2591" t="s">
        <v>61</v>
      </c>
      <c r="I2591">
        <v>2023</v>
      </c>
    </row>
    <row r="2592" spans="1:9" x14ac:dyDescent="0.3">
      <c r="A2592">
        <v>194367477</v>
      </c>
      <c r="B2592" s="1">
        <v>45124</v>
      </c>
      <c r="D2592" t="s">
        <v>7</v>
      </c>
      <c r="E2592">
        <v>39</v>
      </c>
      <c r="F2592" t="s">
        <v>6</v>
      </c>
      <c r="H2592" t="s">
        <v>61</v>
      </c>
      <c r="I2592">
        <v>2023</v>
      </c>
    </row>
    <row r="2593" spans="1:9" x14ac:dyDescent="0.3">
      <c r="A2593">
        <v>218300066</v>
      </c>
      <c r="B2593" s="1">
        <v>45124</v>
      </c>
      <c r="D2593" t="s">
        <v>7</v>
      </c>
      <c r="E2593">
        <v>39</v>
      </c>
      <c r="F2593" t="s">
        <v>6</v>
      </c>
      <c r="H2593" t="s">
        <v>61</v>
      </c>
      <c r="I2593">
        <v>2023</v>
      </c>
    </row>
    <row r="2594" spans="1:9" x14ac:dyDescent="0.3">
      <c r="A2594">
        <v>218553583</v>
      </c>
      <c r="B2594" s="1">
        <v>45124</v>
      </c>
      <c r="D2594" t="s">
        <v>7</v>
      </c>
      <c r="E2594">
        <v>39</v>
      </c>
      <c r="F2594" t="s">
        <v>6</v>
      </c>
      <c r="H2594" t="s">
        <v>61</v>
      </c>
      <c r="I2594">
        <v>2023</v>
      </c>
    </row>
    <row r="2595" spans="1:9" x14ac:dyDescent="0.3">
      <c r="A2595">
        <v>149657162</v>
      </c>
      <c r="B2595" s="1">
        <v>45124</v>
      </c>
      <c r="C2595" s="1">
        <v>45125</v>
      </c>
      <c r="D2595" t="s">
        <v>7</v>
      </c>
      <c r="E2595">
        <v>39</v>
      </c>
      <c r="F2595" t="s">
        <v>6</v>
      </c>
      <c r="G2595" s="19">
        <v>1</v>
      </c>
      <c r="H2595" t="s">
        <v>61</v>
      </c>
      <c r="I2595">
        <v>2023</v>
      </c>
    </row>
    <row r="2596" spans="1:9" x14ac:dyDescent="0.3">
      <c r="A2596">
        <v>125920876</v>
      </c>
      <c r="B2596" s="1">
        <v>45124</v>
      </c>
      <c r="C2596" s="1">
        <v>45162</v>
      </c>
      <c r="D2596" t="s">
        <v>7</v>
      </c>
      <c r="E2596">
        <v>39</v>
      </c>
      <c r="F2596" t="s">
        <v>6</v>
      </c>
      <c r="G2596" s="19">
        <v>38</v>
      </c>
      <c r="H2596" t="s">
        <v>61</v>
      </c>
      <c r="I2596">
        <v>2023</v>
      </c>
    </row>
    <row r="2597" spans="1:9" x14ac:dyDescent="0.3">
      <c r="A2597">
        <v>217403566</v>
      </c>
      <c r="B2597" s="1">
        <v>45124</v>
      </c>
      <c r="C2597" s="1">
        <v>45152</v>
      </c>
      <c r="D2597" t="s">
        <v>7</v>
      </c>
      <c r="E2597">
        <v>39</v>
      </c>
      <c r="F2597" t="s">
        <v>6</v>
      </c>
      <c r="G2597" s="19">
        <v>28</v>
      </c>
      <c r="H2597" t="s">
        <v>61</v>
      </c>
      <c r="I2597">
        <v>2023</v>
      </c>
    </row>
    <row r="2598" spans="1:9" x14ac:dyDescent="0.3">
      <c r="A2598">
        <v>218677370</v>
      </c>
      <c r="B2598" s="1">
        <v>45124</v>
      </c>
      <c r="C2598" s="1">
        <v>45153</v>
      </c>
      <c r="D2598" t="s">
        <v>7</v>
      </c>
      <c r="E2598">
        <v>39</v>
      </c>
      <c r="F2598" t="s">
        <v>6</v>
      </c>
      <c r="G2598" s="19">
        <v>29</v>
      </c>
      <c r="H2598" t="s">
        <v>61</v>
      </c>
      <c r="I2598">
        <v>2023</v>
      </c>
    </row>
    <row r="2599" spans="1:9" x14ac:dyDescent="0.3">
      <c r="A2599">
        <v>218598875</v>
      </c>
      <c r="B2599" s="1">
        <v>45124</v>
      </c>
      <c r="C2599" s="1">
        <v>45162</v>
      </c>
      <c r="D2599" t="s">
        <v>7</v>
      </c>
      <c r="E2599">
        <v>39</v>
      </c>
      <c r="F2599" t="s">
        <v>6</v>
      </c>
      <c r="G2599" s="19">
        <v>38</v>
      </c>
      <c r="H2599" t="s">
        <v>61</v>
      </c>
      <c r="I2599">
        <v>2023</v>
      </c>
    </row>
    <row r="2600" spans="1:9" x14ac:dyDescent="0.3">
      <c r="A2600">
        <v>203116529</v>
      </c>
      <c r="B2600" s="1">
        <v>45124</v>
      </c>
      <c r="C2600" s="1">
        <v>45124</v>
      </c>
      <c r="D2600" t="s">
        <v>7</v>
      </c>
      <c r="E2600">
        <v>39</v>
      </c>
      <c r="F2600" t="s">
        <v>6</v>
      </c>
      <c r="G2600" s="19">
        <v>0</v>
      </c>
      <c r="H2600" t="s">
        <v>61</v>
      </c>
      <c r="I2600">
        <v>2023</v>
      </c>
    </row>
    <row r="2601" spans="1:9" x14ac:dyDescent="0.3">
      <c r="A2601">
        <v>218808831</v>
      </c>
      <c r="B2601" s="1">
        <v>45124</v>
      </c>
      <c r="C2601" s="1">
        <v>45170</v>
      </c>
      <c r="D2601" t="s">
        <v>7</v>
      </c>
      <c r="E2601">
        <v>39</v>
      </c>
      <c r="F2601" t="s">
        <v>6</v>
      </c>
      <c r="G2601" s="19">
        <v>46</v>
      </c>
      <c r="H2601" t="s">
        <v>61</v>
      </c>
      <c r="I2601">
        <v>2023</v>
      </c>
    </row>
    <row r="2602" spans="1:9" x14ac:dyDescent="0.3">
      <c r="A2602">
        <v>218844240</v>
      </c>
      <c r="B2602" s="1">
        <v>45125</v>
      </c>
      <c r="D2602" t="s">
        <v>7</v>
      </c>
      <c r="E2602">
        <v>39</v>
      </c>
      <c r="F2602" t="s">
        <v>6</v>
      </c>
      <c r="H2602" t="s">
        <v>62</v>
      </c>
      <c r="I2602">
        <v>2023</v>
      </c>
    </row>
    <row r="2603" spans="1:9" x14ac:dyDescent="0.3">
      <c r="A2603">
        <v>218863419</v>
      </c>
      <c r="B2603" s="1">
        <v>45125</v>
      </c>
      <c r="D2603" t="s">
        <v>7</v>
      </c>
      <c r="E2603">
        <v>39</v>
      </c>
      <c r="F2603" t="s">
        <v>6</v>
      </c>
      <c r="H2603" t="s">
        <v>62</v>
      </c>
      <c r="I2603">
        <v>2023</v>
      </c>
    </row>
    <row r="2604" spans="1:9" x14ac:dyDescent="0.3">
      <c r="A2604">
        <v>218445704</v>
      </c>
      <c r="B2604" s="1">
        <v>45125</v>
      </c>
      <c r="D2604" t="s">
        <v>7</v>
      </c>
      <c r="E2604">
        <v>39</v>
      </c>
      <c r="F2604" t="s">
        <v>6</v>
      </c>
      <c r="H2604" t="s">
        <v>62</v>
      </c>
      <c r="I2604">
        <v>2023</v>
      </c>
    </row>
    <row r="2605" spans="1:9" x14ac:dyDescent="0.3">
      <c r="A2605">
        <v>149411976</v>
      </c>
      <c r="B2605" s="1">
        <v>45125</v>
      </c>
      <c r="D2605" t="s">
        <v>7</v>
      </c>
      <c r="E2605">
        <v>39</v>
      </c>
      <c r="F2605" t="s">
        <v>6</v>
      </c>
      <c r="H2605" t="s">
        <v>62</v>
      </c>
      <c r="I2605">
        <v>2023</v>
      </c>
    </row>
    <row r="2606" spans="1:9" x14ac:dyDescent="0.3">
      <c r="A2606">
        <v>218862674</v>
      </c>
      <c r="B2606" s="1">
        <v>45125</v>
      </c>
      <c r="D2606" t="s">
        <v>7</v>
      </c>
      <c r="E2606">
        <v>39</v>
      </c>
      <c r="F2606" t="s">
        <v>6</v>
      </c>
      <c r="H2606" t="s">
        <v>62</v>
      </c>
      <c r="I2606">
        <v>2023</v>
      </c>
    </row>
    <row r="2607" spans="1:9" x14ac:dyDescent="0.3">
      <c r="A2607">
        <v>218851122</v>
      </c>
      <c r="B2607" s="1">
        <v>45125</v>
      </c>
      <c r="D2607" t="s">
        <v>7</v>
      </c>
      <c r="E2607">
        <v>39</v>
      </c>
      <c r="F2607" t="s">
        <v>6</v>
      </c>
      <c r="H2607" t="s">
        <v>62</v>
      </c>
      <c r="I2607">
        <v>2023</v>
      </c>
    </row>
    <row r="2608" spans="1:9" x14ac:dyDescent="0.3">
      <c r="A2608">
        <v>153402484</v>
      </c>
      <c r="B2608" s="1">
        <v>45125</v>
      </c>
      <c r="C2608" s="1">
        <v>45170</v>
      </c>
      <c r="D2608" t="s">
        <v>7</v>
      </c>
      <c r="E2608">
        <v>39</v>
      </c>
      <c r="F2608" t="s">
        <v>6</v>
      </c>
      <c r="G2608" s="19">
        <v>45</v>
      </c>
      <c r="H2608" t="s">
        <v>62</v>
      </c>
      <c r="I2608">
        <v>2023</v>
      </c>
    </row>
    <row r="2609" spans="1:9" x14ac:dyDescent="0.3">
      <c r="A2609">
        <v>218848831</v>
      </c>
      <c r="B2609" s="1">
        <v>45125</v>
      </c>
      <c r="C2609" s="1">
        <v>45164</v>
      </c>
      <c r="D2609" t="s">
        <v>7</v>
      </c>
      <c r="E2609">
        <v>39</v>
      </c>
      <c r="F2609" t="s">
        <v>6</v>
      </c>
      <c r="G2609" s="19">
        <v>39</v>
      </c>
      <c r="H2609" t="s">
        <v>62</v>
      </c>
      <c r="I2609">
        <v>2023</v>
      </c>
    </row>
    <row r="2610" spans="1:9" x14ac:dyDescent="0.3">
      <c r="A2610">
        <v>159639128</v>
      </c>
      <c r="B2610" s="1">
        <v>45125</v>
      </c>
      <c r="C2610" s="1">
        <v>45125</v>
      </c>
      <c r="D2610" t="s">
        <v>7</v>
      </c>
      <c r="E2610">
        <v>39</v>
      </c>
      <c r="F2610" t="s">
        <v>6</v>
      </c>
      <c r="G2610" s="19">
        <v>0</v>
      </c>
      <c r="H2610" t="s">
        <v>62</v>
      </c>
      <c r="I2610">
        <v>2023</v>
      </c>
    </row>
    <row r="2611" spans="1:9" x14ac:dyDescent="0.3">
      <c r="A2611">
        <v>214638700</v>
      </c>
      <c r="B2611" s="1">
        <v>45125</v>
      </c>
      <c r="C2611" s="1">
        <v>45126</v>
      </c>
      <c r="D2611" t="s">
        <v>8</v>
      </c>
      <c r="E2611">
        <v>39</v>
      </c>
      <c r="F2611" t="s">
        <v>6</v>
      </c>
      <c r="G2611" s="19">
        <v>1</v>
      </c>
      <c r="H2611" t="s">
        <v>62</v>
      </c>
      <c r="I2611">
        <v>2023</v>
      </c>
    </row>
    <row r="2612" spans="1:9" x14ac:dyDescent="0.3">
      <c r="A2612">
        <v>218850789</v>
      </c>
      <c r="B2612" s="1">
        <v>45125</v>
      </c>
      <c r="C2612" s="1">
        <v>45156</v>
      </c>
      <c r="D2612" t="s">
        <v>7</v>
      </c>
      <c r="E2612">
        <v>39</v>
      </c>
      <c r="F2612" t="s">
        <v>6</v>
      </c>
      <c r="G2612" s="19">
        <v>31</v>
      </c>
      <c r="H2612" t="s">
        <v>62</v>
      </c>
      <c r="I2612">
        <v>2023</v>
      </c>
    </row>
    <row r="2613" spans="1:9" x14ac:dyDescent="0.3">
      <c r="A2613">
        <v>155510287</v>
      </c>
      <c r="B2613" s="1">
        <v>45125</v>
      </c>
      <c r="C2613" s="1">
        <v>45150</v>
      </c>
      <c r="D2613" t="s">
        <v>7</v>
      </c>
      <c r="E2613">
        <v>39</v>
      </c>
      <c r="F2613" t="s">
        <v>6</v>
      </c>
      <c r="G2613" s="19">
        <v>25</v>
      </c>
      <c r="H2613" t="s">
        <v>62</v>
      </c>
      <c r="I2613">
        <v>2023</v>
      </c>
    </row>
    <row r="2614" spans="1:9" x14ac:dyDescent="0.3">
      <c r="A2614">
        <v>218677703</v>
      </c>
      <c r="B2614" s="1">
        <v>45125</v>
      </c>
      <c r="C2614" s="1">
        <v>45131</v>
      </c>
      <c r="D2614" t="s">
        <v>7</v>
      </c>
      <c r="E2614">
        <v>39</v>
      </c>
      <c r="F2614" t="s">
        <v>6</v>
      </c>
      <c r="G2614" s="19">
        <v>6</v>
      </c>
      <c r="H2614" t="s">
        <v>62</v>
      </c>
      <c r="I2614">
        <v>2023</v>
      </c>
    </row>
    <row r="2615" spans="1:9" x14ac:dyDescent="0.3">
      <c r="A2615">
        <v>218878930</v>
      </c>
      <c r="B2615" s="1">
        <v>45125</v>
      </c>
      <c r="C2615" s="1">
        <v>45127</v>
      </c>
      <c r="D2615" t="s">
        <v>7</v>
      </c>
      <c r="E2615">
        <v>39</v>
      </c>
      <c r="F2615" t="s">
        <v>6</v>
      </c>
      <c r="G2615" s="19">
        <v>2</v>
      </c>
      <c r="H2615" t="s">
        <v>62</v>
      </c>
      <c r="I2615">
        <v>2023</v>
      </c>
    </row>
    <row r="2616" spans="1:9" x14ac:dyDescent="0.3">
      <c r="A2616">
        <v>218935022</v>
      </c>
      <c r="B2616" s="1">
        <v>45126</v>
      </c>
      <c r="D2616" t="s">
        <v>7</v>
      </c>
      <c r="E2616">
        <v>39</v>
      </c>
      <c r="F2616" t="s">
        <v>6</v>
      </c>
      <c r="H2616" t="s">
        <v>63</v>
      </c>
      <c r="I2616">
        <v>2023</v>
      </c>
    </row>
    <row r="2617" spans="1:9" x14ac:dyDescent="0.3">
      <c r="A2617">
        <v>218925198</v>
      </c>
      <c r="B2617" s="1">
        <v>45126</v>
      </c>
      <c r="D2617" t="s">
        <v>7</v>
      </c>
      <c r="E2617">
        <v>39</v>
      </c>
      <c r="F2617" t="s">
        <v>6</v>
      </c>
      <c r="H2617" t="s">
        <v>63</v>
      </c>
      <c r="I2617">
        <v>2023</v>
      </c>
    </row>
    <row r="2618" spans="1:9" x14ac:dyDescent="0.3">
      <c r="A2618">
        <v>218927120</v>
      </c>
      <c r="B2618" s="1">
        <v>45126</v>
      </c>
      <c r="D2618" t="s">
        <v>7</v>
      </c>
      <c r="E2618">
        <v>39</v>
      </c>
      <c r="F2618" t="s">
        <v>6</v>
      </c>
      <c r="H2618" t="s">
        <v>63</v>
      </c>
      <c r="I2618">
        <v>2023</v>
      </c>
    </row>
    <row r="2619" spans="1:9" x14ac:dyDescent="0.3">
      <c r="A2619">
        <v>218930176</v>
      </c>
      <c r="B2619" s="1">
        <v>45126</v>
      </c>
      <c r="D2619" t="s">
        <v>7</v>
      </c>
      <c r="E2619">
        <v>39</v>
      </c>
      <c r="F2619" t="s">
        <v>6</v>
      </c>
      <c r="H2619" t="s">
        <v>63</v>
      </c>
      <c r="I2619">
        <v>2023</v>
      </c>
    </row>
    <row r="2620" spans="1:9" x14ac:dyDescent="0.3">
      <c r="A2620">
        <v>216185482</v>
      </c>
      <c r="B2620" s="1">
        <v>45126</v>
      </c>
      <c r="D2620" t="s">
        <v>7</v>
      </c>
      <c r="E2620">
        <v>39</v>
      </c>
      <c r="F2620" t="s">
        <v>6</v>
      </c>
      <c r="H2620" t="s">
        <v>63</v>
      </c>
      <c r="I2620">
        <v>2023</v>
      </c>
    </row>
    <row r="2621" spans="1:9" x14ac:dyDescent="0.3">
      <c r="A2621">
        <v>218814342</v>
      </c>
      <c r="B2621" s="1">
        <v>45126</v>
      </c>
      <c r="D2621" t="s">
        <v>7</v>
      </c>
      <c r="E2621">
        <v>39</v>
      </c>
      <c r="F2621" t="s">
        <v>6</v>
      </c>
      <c r="H2621" t="s">
        <v>63</v>
      </c>
      <c r="I2621">
        <v>2023</v>
      </c>
    </row>
    <row r="2622" spans="1:9" x14ac:dyDescent="0.3">
      <c r="A2622">
        <v>218764310</v>
      </c>
      <c r="B2622" s="1">
        <v>45126</v>
      </c>
      <c r="D2622" t="s">
        <v>7</v>
      </c>
      <c r="E2622">
        <v>39</v>
      </c>
      <c r="F2622" t="s">
        <v>6</v>
      </c>
      <c r="H2622" t="s">
        <v>63</v>
      </c>
      <c r="I2622">
        <v>2023</v>
      </c>
    </row>
    <row r="2623" spans="1:9" x14ac:dyDescent="0.3">
      <c r="A2623">
        <v>218814328</v>
      </c>
      <c r="B2623" s="1">
        <v>45126</v>
      </c>
      <c r="D2623" t="s">
        <v>7</v>
      </c>
      <c r="E2623">
        <v>39</v>
      </c>
      <c r="F2623" t="s">
        <v>6</v>
      </c>
      <c r="H2623" t="s">
        <v>63</v>
      </c>
      <c r="I2623">
        <v>2023</v>
      </c>
    </row>
    <row r="2624" spans="1:9" x14ac:dyDescent="0.3">
      <c r="A2624">
        <v>149144586</v>
      </c>
      <c r="B2624" s="1">
        <v>45126</v>
      </c>
      <c r="D2624" t="s">
        <v>7</v>
      </c>
      <c r="E2624">
        <v>39</v>
      </c>
      <c r="F2624" t="s">
        <v>6</v>
      </c>
      <c r="H2624" t="s">
        <v>63</v>
      </c>
      <c r="I2624">
        <v>2023</v>
      </c>
    </row>
    <row r="2625" spans="1:9" x14ac:dyDescent="0.3">
      <c r="A2625">
        <v>217635511</v>
      </c>
      <c r="B2625" s="1">
        <v>45126</v>
      </c>
      <c r="D2625" t="s">
        <v>7</v>
      </c>
      <c r="E2625">
        <v>39</v>
      </c>
      <c r="F2625" t="s">
        <v>6</v>
      </c>
      <c r="H2625" t="s">
        <v>63</v>
      </c>
      <c r="I2625">
        <v>2023</v>
      </c>
    </row>
    <row r="2626" spans="1:9" x14ac:dyDescent="0.3">
      <c r="A2626">
        <v>218924256</v>
      </c>
      <c r="B2626" s="1">
        <v>45126</v>
      </c>
      <c r="C2626" s="1">
        <v>45152</v>
      </c>
      <c r="D2626" t="s">
        <v>7</v>
      </c>
      <c r="E2626">
        <v>39</v>
      </c>
      <c r="F2626" t="s">
        <v>6</v>
      </c>
      <c r="G2626" s="19">
        <v>26</v>
      </c>
      <c r="H2626" t="s">
        <v>63</v>
      </c>
      <c r="I2626">
        <v>2023</v>
      </c>
    </row>
    <row r="2627" spans="1:9" x14ac:dyDescent="0.3">
      <c r="A2627">
        <v>218898552</v>
      </c>
      <c r="B2627" s="1">
        <v>45126</v>
      </c>
      <c r="C2627" s="1">
        <v>45155</v>
      </c>
      <c r="D2627" t="s">
        <v>7</v>
      </c>
      <c r="E2627">
        <v>39</v>
      </c>
      <c r="F2627" t="s">
        <v>6</v>
      </c>
      <c r="G2627" s="19">
        <v>29</v>
      </c>
      <c r="H2627" t="s">
        <v>63</v>
      </c>
      <c r="I2627">
        <v>2023</v>
      </c>
    </row>
    <row r="2628" spans="1:9" x14ac:dyDescent="0.3">
      <c r="A2628">
        <v>149657162</v>
      </c>
      <c r="B2628" s="1">
        <v>45126</v>
      </c>
      <c r="C2628" s="1">
        <v>45172</v>
      </c>
      <c r="D2628" t="s">
        <v>7</v>
      </c>
      <c r="E2628">
        <v>39</v>
      </c>
      <c r="F2628" t="s">
        <v>6</v>
      </c>
      <c r="G2628" s="19">
        <v>46</v>
      </c>
      <c r="H2628" t="s">
        <v>63</v>
      </c>
      <c r="I2628">
        <v>2023</v>
      </c>
    </row>
    <row r="2629" spans="1:9" x14ac:dyDescent="0.3">
      <c r="A2629">
        <v>218581958</v>
      </c>
      <c r="B2629" s="1">
        <v>45126</v>
      </c>
      <c r="C2629" s="1">
        <v>45133</v>
      </c>
      <c r="D2629" t="s">
        <v>7</v>
      </c>
      <c r="E2629">
        <v>39</v>
      </c>
      <c r="F2629" t="s">
        <v>6</v>
      </c>
      <c r="G2629" s="19">
        <v>7</v>
      </c>
      <c r="H2629" t="s">
        <v>63</v>
      </c>
      <c r="I2629">
        <v>2023</v>
      </c>
    </row>
    <row r="2630" spans="1:9" x14ac:dyDescent="0.3">
      <c r="A2630">
        <v>214943384</v>
      </c>
      <c r="B2630" s="1">
        <v>45127</v>
      </c>
      <c r="D2630" t="s">
        <v>7</v>
      </c>
      <c r="E2630">
        <v>39</v>
      </c>
      <c r="F2630" t="s">
        <v>6</v>
      </c>
      <c r="H2630" t="s">
        <v>64</v>
      </c>
      <c r="I2630">
        <v>2023</v>
      </c>
    </row>
    <row r="2631" spans="1:9" x14ac:dyDescent="0.3">
      <c r="A2631">
        <v>147832373</v>
      </c>
      <c r="B2631" s="1">
        <v>45127</v>
      </c>
      <c r="D2631" t="s">
        <v>7</v>
      </c>
      <c r="E2631">
        <v>39</v>
      </c>
      <c r="F2631" t="s">
        <v>6</v>
      </c>
      <c r="H2631" t="s">
        <v>64</v>
      </c>
      <c r="I2631">
        <v>2023</v>
      </c>
    </row>
    <row r="2632" spans="1:9" x14ac:dyDescent="0.3">
      <c r="A2632">
        <v>204362311</v>
      </c>
      <c r="B2632" s="1">
        <v>45127</v>
      </c>
      <c r="D2632" t="s">
        <v>7</v>
      </c>
      <c r="E2632">
        <v>39</v>
      </c>
      <c r="F2632" t="s">
        <v>6</v>
      </c>
      <c r="H2632" t="s">
        <v>64</v>
      </c>
      <c r="I2632">
        <v>2023</v>
      </c>
    </row>
    <row r="2633" spans="1:9" x14ac:dyDescent="0.3">
      <c r="A2633">
        <v>217137211</v>
      </c>
      <c r="B2633" s="1">
        <v>45127</v>
      </c>
      <c r="D2633" t="s">
        <v>7</v>
      </c>
      <c r="E2633">
        <v>39</v>
      </c>
      <c r="F2633" t="s">
        <v>6</v>
      </c>
      <c r="H2633" t="s">
        <v>64</v>
      </c>
      <c r="I2633">
        <v>2023</v>
      </c>
    </row>
    <row r="2634" spans="1:9" x14ac:dyDescent="0.3">
      <c r="A2634">
        <v>218942852</v>
      </c>
      <c r="B2634" s="1">
        <v>45127</v>
      </c>
      <c r="D2634" t="s">
        <v>7</v>
      </c>
      <c r="E2634">
        <v>39</v>
      </c>
      <c r="F2634" t="s">
        <v>6</v>
      </c>
      <c r="H2634" t="s">
        <v>64</v>
      </c>
      <c r="I2634">
        <v>2023</v>
      </c>
    </row>
    <row r="2635" spans="1:9" x14ac:dyDescent="0.3">
      <c r="A2635">
        <v>218715020</v>
      </c>
      <c r="B2635" s="1">
        <v>45127</v>
      </c>
      <c r="C2635" s="1">
        <v>45174</v>
      </c>
      <c r="D2635" t="s">
        <v>7</v>
      </c>
      <c r="E2635">
        <v>39</v>
      </c>
      <c r="F2635" t="s">
        <v>6</v>
      </c>
      <c r="G2635" s="19">
        <v>47</v>
      </c>
      <c r="H2635" t="s">
        <v>64</v>
      </c>
      <c r="I2635">
        <v>2023</v>
      </c>
    </row>
    <row r="2636" spans="1:9" x14ac:dyDescent="0.3">
      <c r="A2636">
        <v>218701308</v>
      </c>
      <c r="B2636" s="1">
        <v>45127</v>
      </c>
      <c r="C2636" s="1">
        <v>45128</v>
      </c>
      <c r="D2636" t="s">
        <v>7</v>
      </c>
      <c r="E2636">
        <v>39</v>
      </c>
      <c r="F2636" t="s">
        <v>6</v>
      </c>
      <c r="G2636" s="19">
        <v>1</v>
      </c>
      <c r="H2636" t="s">
        <v>64</v>
      </c>
      <c r="I2636">
        <v>2023</v>
      </c>
    </row>
    <row r="2637" spans="1:9" x14ac:dyDescent="0.3">
      <c r="A2637">
        <v>218979443</v>
      </c>
      <c r="B2637" s="1">
        <v>45127</v>
      </c>
      <c r="C2637" s="1">
        <v>45153</v>
      </c>
      <c r="D2637" t="s">
        <v>7</v>
      </c>
      <c r="E2637">
        <v>39</v>
      </c>
      <c r="F2637" t="s">
        <v>6</v>
      </c>
      <c r="G2637" s="19">
        <v>26</v>
      </c>
      <c r="H2637" t="s">
        <v>64</v>
      </c>
      <c r="I2637">
        <v>2023</v>
      </c>
    </row>
    <row r="2638" spans="1:9" x14ac:dyDescent="0.3">
      <c r="A2638">
        <v>218543315</v>
      </c>
      <c r="B2638" s="1">
        <v>45127</v>
      </c>
      <c r="C2638" s="1">
        <v>45173</v>
      </c>
      <c r="D2638" t="s">
        <v>7</v>
      </c>
      <c r="E2638">
        <v>39</v>
      </c>
      <c r="F2638" t="s">
        <v>6</v>
      </c>
      <c r="G2638" s="19">
        <v>46</v>
      </c>
      <c r="H2638" t="s">
        <v>64</v>
      </c>
      <c r="I2638">
        <v>2023</v>
      </c>
    </row>
    <row r="2639" spans="1:9" x14ac:dyDescent="0.3">
      <c r="A2639">
        <v>218281726</v>
      </c>
      <c r="B2639" s="1">
        <v>45128</v>
      </c>
      <c r="D2639" t="s">
        <v>7</v>
      </c>
      <c r="E2639">
        <v>39</v>
      </c>
      <c r="F2639" t="s">
        <v>6</v>
      </c>
      <c r="H2639" t="s">
        <v>65</v>
      </c>
      <c r="I2639">
        <v>2023</v>
      </c>
    </row>
    <row r="2640" spans="1:9" x14ac:dyDescent="0.3">
      <c r="A2640">
        <v>144972422</v>
      </c>
      <c r="B2640" s="1">
        <v>45128</v>
      </c>
      <c r="D2640" t="s">
        <v>7</v>
      </c>
      <c r="E2640">
        <v>39</v>
      </c>
      <c r="F2640" t="s">
        <v>6</v>
      </c>
      <c r="H2640" t="s">
        <v>65</v>
      </c>
      <c r="I2640">
        <v>2023</v>
      </c>
    </row>
    <row r="2641" spans="1:9" x14ac:dyDescent="0.3">
      <c r="A2641">
        <v>219017513</v>
      </c>
      <c r="B2641" s="1">
        <v>45128</v>
      </c>
      <c r="D2641" t="s">
        <v>7</v>
      </c>
      <c r="E2641">
        <v>39</v>
      </c>
      <c r="F2641" t="s">
        <v>6</v>
      </c>
      <c r="H2641" t="s">
        <v>65</v>
      </c>
      <c r="I2641">
        <v>2023</v>
      </c>
    </row>
    <row r="2642" spans="1:9" x14ac:dyDescent="0.3">
      <c r="A2642">
        <v>218096762</v>
      </c>
      <c r="B2642" s="1">
        <v>45128</v>
      </c>
      <c r="D2642" t="s">
        <v>7</v>
      </c>
      <c r="E2642">
        <v>39</v>
      </c>
      <c r="F2642" t="s">
        <v>6</v>
      </c>
      <c r="H2642" t="s">
        <v>65</v>
      </c>
      <c r="I2642">
        <v>2023</v>
      </c>
    </row>
    <row r="2643" spans="1:9" x14ac:dyDescent="0.3">
      <c r="A2643">
        <v>134289850</v>
      </c>
      <c r="B2643" s="1">
        <v>45128</v>
      </c>
      <c r="D2643" t="s">
        <v>7</v>
      </c>
      <c r="E2643">
        <v>39</v>
      </c>
      <c r="F2643" t="s">
        <v>6</v>
      </c>
      <c r="H2643" t="s">
        <v>65</v>
      </c>
      <c r="I2643">
        <v>2023</v>
      </c>
    </row>
    <row r="2644" spans="1:9" x14ac:dyDescent="0.3">
      <c r="A2644">
        <v>205210815</v>
      </c>
      <c r="B2644" s="1">
        <v>45128</v>
      </c>
      <c r="C2644" s="1">
        <v>45129</v>
      </c>
      <c r="D2644" t="s">
        <v>7</v>
      </c>
      <c r="E2644">
        <v>39</v>
      </c>
      <c r="F2644" t="s">
        <v>6</v>
      </c>
      <c r="G2644" s="19">
        <v>1</v>
      </c>
      <c r="H2644" t="s">
        <v>65</v>
      </c>
      <c r="I2644">
        <v>2023</v>
      </c>
    </row>
    <row r="2645" spans="1:9" x14ac:dyDescent="0.3">
      <c r="A2645">
        <v>218684970</v>
      </c>
      <c r="B2645" s="1">
        <v>45128</v>
      </c>
      <c r="C2645" s="1">
        <v>45166</v>
      </c>
      <c r="D2645" t="s">
        <v>7</v>
      </c>
      <c r="E2645">
        <v>39</v>
      </c>
      <c r="F2645" t="s">
        <v>6</v>
      </c>
      <c r="G2645" s="19">
        <v>38</v>
      </c>
      <c r="H2645" t="s">
        <v>65</v>
      </c>
      <c r="I2645">
        <v>2023</v>
      </c>
    </row>
    <row r="2646" spans="1:9" x14ac:dyDescent="0.3">
      <c r="A2646">
        <v>219045318</v>
      </c>
      <c r="B2646" s="1">
        <v>45129</v>
      </c>
      <c r="D2646" t="s">
        <v>7</v>
      </c>
      <c r="E2646">
        <v>39</v>
      </c>
      <c r="F2646" t="s">
        <v>6</v>
      </c>
      <c r="H2646" t="s">
        <v>66</v>
      </c>
      <c r="I2646">
        <v>2023</v>
      </c>
    </row>
    <row r="2647" spans="1:9" x14ac:dyDescent="0.3">
      <c r="A2647">
        <v>218428977</v>
      </c>
      <c r="B2647" s="1">
        <v>45129</v>
      </c>
      <c r="D2647" t="s">
        <v>7</v>
      </c>
      <c r="E2647">
        <v>39</v>
      </c>
      <c r="F2647" t="s">
        <v>6</v>
      </c>
      <c r="H2647" t="s">
        <v>66</v>
      </c>
      <c r="I2647">
        <v>2023</v>
      </c>
    </row>
    <row r="2648" spans="1:9" x14ac:dyDescent="0.3">
      <c r="A2648">
        <v>156587706</v>
      </c>
      <c r="B2648" s="1">
        <v>45129</v>
      </c>
      <c r="C2648" s="1">
        <v>45130</v>
      </c>
      <c r="D2648" t="s">
        <v>8</v>
      </c>
      <c r="E2648">
        <v>39</v>
      </c>
      <c r="F2648" t="s">
        <v>6</v>
      </c>
      <c r="G2648" s="19">
        <v>1</v>
      </c>
      <c r="H2648" t="s">
        <v>66</v>
      </c>
      <c r="I2648">
        <v>2023</v>
      </c>
    </row>
    <row r="2649" spans="1:9" x14ac:dyDescent="0.3">
      <c r="A2649">
        <v>219034826</v>
      </c>
      <c r="B2649" s="1">
        <v>45129</v>
      </c>
      <c r="C2649" s="1">
        <v>45130</v>
      </c>
      <c r="D2649" t="s">
        <v>8</v>
      </c>
      <c r="E2649">
        <v>39</v>
      </c>
      <c r="F2649" t="s">
        <v>6</v>
      </c>
      <c r="G2649" s="19">
        <v>1</v>
      </c>
      <c r="H2649" t="s">
        <v>66</v>
      </c>
      <c r="I2649">
        <v>2023</v>
      </c>
    </row>
    <row r="2650" spans="1:9" x14ac:dyDescent="0.3">
      <c r="A2650">
        <v>204380751</v>
      </c>
      <c r="B2650" s="1">
        <v>45129</v>
      </c>
      <c r="C2650" s="1">
        <v>45159</v>
      </c>
      <c r="D2650" t="s">
        <v>7</v>
      </c>
      <c r="E2650">
        <v>39</v>
      </c>
      <c r="F2650" t="s">
        <v>6</v>
      </c>
      <c r="G2650" s="19">
        <v>30</v>
      </c>
      <c r="H2650" t="s">
        <v>66</v>
      </c>
      <c r="I2650">
        <v>2023</v>
      </c>
    </row>
    <row r="2651" spans="1:9" x14ac:dyDescent="0.3">
      <c r="A2651">
        <v>215315438</v>
      </c>
      <c r="B2651" s="1">
        <v>45129</v>
      </c>
      <c r="C2651" s="1">
        <v>45160</v>
      </c>
      <c r="D2651" t="s">
        <v>7</v>
      </c>
      <c r="E2651">
        <v>39</v>
      </c>
      <c r="F2651" t="s">
        <v>6</v>
      </c>
      <c r="G2651" s="19">
        <v>31</v>
      </c>
      <c r="H2651" t="s">
        <v>66</v>
      </c>
      <c r="I2651">
        <v>2023</v>
      </c>
    </row>
    <row r="2652" spans="1:9" x14ac:dyDescent="0.3">
      <c r="A2652">
        <v>213774184</v>
      </c>
      <c r="B2652" s="1">
        <v>45129</v>
      </c>
      <c r="C2652" s="1">
        <v>45167</v>
      </c>
      <c r="D2652" t="s">
        <v>7</v>
      </c>
      <c r="E2652">
        <v>39</v>
      </c>
      <c r="F2652" t="s">
        <v>6</v>
      </c>
      <c r="G2652" s="19">
        <v>38</v>
      </c>
      <c r="H2652" t="s">
        <v>66</v>
      </c>
      <c r="I2652">
        <v>2023</v>
      </c>
    </row>
    <row r="2653" spans="1:9" x14ac:dyDescent="0.3">
      <c r="A2653">
        <v>206121650</v>
      </c>
      <c r="B2653" s="1">
        <v>45130</v>
      </c>
      <c r="D2653" t="s">
        <v>7</v>
      </c>
      <c r="E2653">
        <v>39</v>
      </c>
      <c r="F2653" t="s">
        <v>6</v>
      </c>
      <c r="H2653" t="s">
        <v>60</v>
      </c>
      <c r="I2653">
        <v>2023</v>
      </c>
    </row>
    <row r="2654" spans="1:9" x14ac:dyDescent="0.3">
      <c r="A2654">
        <v>219059958</v>
      </c>
      <c r="B2654" s="1">
        <v>45130</v>
      </c>
      <c r="D2654" t="s">
        <v>7</v>
      </c>
      <c r="E2654">
        <v>39</v>
      </c>
      <c r="F2654" t="s">
        <v>6</v>
      </c>
      <c r="H2654" t="s">
        <v>60</v>
      </c>
      <c r="I2654">
        <v>2023</v>
      </c>
    </row>
    <row r="2655" spans="1:9" x14ac:dyDescent="0.3">
      <c r="A2655">
        <v>204639997</v>
      </c>
      <c r="B2655" s="1">
        <v>45130</v>
      </c>
      <c r="C2655" s="1">
        <v>45130</v>
      </c>
      <c r="D2655" t="s">
        <v>7</v>
      </c>
      <c r="E2655">
        <v>39</v>
      </c>
      <c r="F2655" t="s">
        <v>6</v>
      </c>
      <c r="G2655" s="19">
        <v>0</v>
      </c>
      <c r="H2655" t="s">
        <v>60</v>
      </c>
      <c r="I2655">
        <v>2023</v>
      </c>
    </row>
    <row r="2656" spans="1:9" x14ac:dyDescent="0.3">
      <c r="A2656">
        <v>201817514</v>
      </c>
      <c r="B2656" s="1">
        <v>45130</v>
      </c>
      <c r="C2656" s="1">
        <v>45160</v>
      </c>
      <c r="D2656" t="s">
        <v>7</v>
      </c>
      <c r="E2656">
        <v>39</v>
      </c>
      <c r="F2656" t="s">
        <v>6</v>
      </c>
      <c r="G2656" s="19">
        <v>30</v>
      </c>
      <c r="H2656" t="s">
        <v>60</v>
      </c>
      <c r="I2656">
        <v>2023</v>
      </c>
    </row>
    <row r="2657" spans="1:9" x14ac:dyDescent="0.3">
      <c r="A2657">
        <v>219065931</v>
      </c>
      <c r="B2657" s="1">
        <v>45130</v>
      </c>
      <c r="C2657" s="1">
        <v>45168</v>
      </c>
      <c r="D2657" t="s">
        <v>7</v>
      </c>
      <c r="E2657">
        <v>39</v>
      </c>
      <c r="F2657" t="s">
        <v>6</v>
      </c>
      <c r="G2657" s="19">
        <v>38</v>
      </c>
      <c r="H2657" t="s">
        <v>60</v>
      </c>
      <c r="I2657">
        <v>2023</v>
      </c>
    </row>
    <row r="2658" spans="1:9" x14ac:dyDescent="0.3">
      <c r="A2658">
        <v>143627373</v>
      </c>
      <c r="B2658" s="1">
        <v>45131</v>
      </c>
      <c r="D2658" t="s">
        <v>7</v>
      </c>
      <c r="E2658">
        <v>39</v>
      </c>
      <c r="F2658" t="s">
        <v>6</v>
      </c>
      <c r="H2658" t="s">
        <v>61</v>
      </c>
      <c r="I2658">
        <v>2023</v>
      </c>
    </row>
    <row r="2659" spans="1:9" x14ac:dyDescent="0.3">
      <c r="A2659">
        <v>218675428</v>
      </c>
      <c r="B2659" s="1">
        <v>45131</v>
      </c>
      <c r="D2659" t="s">
        <v>7</v>
      </c>
      <c r="E2659">
        <v>39</v>
      </c>
      <c r="F2659" t="s">
        <v>6</v>
      </c>
      <c r="H2659" t="s">
        <v>61</v>
      </c>
      <c r="I2659">
        <v>2023</v>
      </c>
    </row>
    <row r="2660" spans="1:9" x14ac:dyDescent="0.3">
      <c r="A2660">
        <v>219057820</v>
      </c>
      <c r="B2660" s="1">
        <v>45131</v>
      </c>
      <c r="D2660" t="s">
        <v>7</v>
      </c>
      <c r="E2660">
        <v>39</v>
      </c>
      <c r="F2660" t="s">
        <v>6</v>
      </c>
      <c r="H2660" t="s">
        <v>61</v>
      </c>
      <c r="I2660">
        <v>2023</v>
      </c>
    </row>
    <row r="2661" spans="1:9" x14ac:dyDescent="0.3">
      <c r="A2661">
        <v>219115854</v>
      </c>
      <c r="B2661" s="1">
        <v>45131</v>
      </c>
      <c r="D2661" t="s">
        <v>7</v>
      </c>
      <c r="E2661">
        <v>39</v>
      </c>
      <c r="F2661" t="s">
        <v>6</v>
      </c>
      <c r="H2661" t="s">
        <v>61</v>
      </c>
      <c r="I2661">
        <v>2023</v>
      </c>
    </row>
    <row r="2662" spans="1:9" x14ac:dyDescent="0.3">
      <c r="A2662">
        <v>204826054</v>
      </c>
      <c r="B2662" s="1">
        <v>45131</v>
      </c>
      <c r="D2662" t="s">
        <v>7</v>
      </c>
      <c r="E2662">
        <v>39</v>
      </c>
      <c r="F2662" t="s">
        <v>6</v>
      </c>
      <c r="H2662" t="s">
        <v>61</v>
      </c>
      <c r="I2662">
        <v>2023</v>
      </c>
    </row>
    <row r="2663" spans="1:9" x14ac:dyDescent="0.3">
      <c r="A2663">
        <v>219072554</v>
      </c>
      <c r="B2663" s="1">
        <v>45131</v>
      </c>
      <c r="D2663" t="s">
        <v>7</v>
      </c>
      <c r="E2663">
        <v>39</v>
      </c>
      <c r="F2663" t="s">
        <v>6</v>
      </c>
      <c r="H2663" t="s">
        <v>61</v>
      </c>
      <c r="I2663">
        <v>2023</v>
      </c>
    </row>
    <row r="2664" spans="1:9" x14ac:dyDescent="0.3">
      <c r="A2664">
        <v>219088631</v>
      </c>
      <c r="B2664" s="1">
        <v>45131</v>
      </c>
      <c r="D2664" t="s">
        <v>7</v>
      </c>
      <c r="E2664">
        <v>39</v>
      </c>
      <c r="F2664" t="s">
        <v>6</v>
      </c>
      <c r="H2664" t="s">
        <v>61</v>
      </c>
      <c r="I2664">
        <v>2023</v>
      </c>
    </row>
    <row r="2665" spans="1:9" x14ac:dyDescent="0.3">
      <c r="A2665">
        <v>218861750</v>
      </c>
      <c r="B2665" s="1">
        <v>45131</v>
      </c>
      <c r="C2665" s="1">
        <v>45169</v>
      </c>
      <c r="D2665" t="s">
        <v>7</v>
      </c>
      <c r="E2665">
        <v>39</v>
      </c>
      <c r="F2665" t="s">
        <v>6</v>
      </c>
      <c r="G2665" s="19">
        <v>38</v>
      </c>
      <c r="H2665" t="s">
        <v>61</v>
      </c>
      <c r="I2665">
        <v>2023</v>
      </c>
    </row>
    <row r="2666" spans="1:9" x14ac:dyDescent="0.3">
      <c r="A2666">
        <v>217513777</v>
      </c>
      <c r="B2666" s="1">
        <v>45131</v>
      </c>
      <c r="C2666" s="1">
        <v>45140</v>
      </c>
      <c r="D2666" t="s">
        <v>7</v>
      </c>
      <c r="E2666">
        <v>39</v>
      </c>
      <c r="F2666" t="s">
        <v>6</v>
      </c>
      <c r="G2666" s="19">
        <v>9</v>
      </c>
      <c r="H2666" t="s">
        <v>61</v>
      </c>
      <c r="I2666">
        <v>2023</v>
      </c>
    </row>
    <row r="2667" spans="1:9" x14ac:dyDescent="0.3">
      <c r="A2667">
        <v>218805370</v>
      </c>
      <c r="B2667" s="1">
        <v>45131</v>
      </c>
      <c r="C2667" s="1">
        <v>45146</v>
      </c>
      <c r="D2667" t="s">
        <v>7</v>
      </c>
      <c r="E2667">
        <v>39</v>
      </c>
      <c r="F2667" t="s">
        <v>6</v>
      </c>
      <c r="G2667" s="19">
        <v>15</v>
      </c>
      <c r="H2667" t="s">
        <v>61</v>
      </c>
      <c r="I2667">
        <v>2023</v>
      </c>
    </row>
    <row r="2668" spans="1:9" x14ac:dyDescent="0.3">
      <c r="A2668">
        <v>219128709</v>
      </c>
      <c r="B2668" s="1">
        <v>45132</v>
      </c>
      <c r="D2668" t="s">
        <v>7</v>
      </c>
      <c r="E2668">
        <v>39</v>
      </c>
      <c r="F2668" t="s">
        <v>6</v>
      </c>
      <c r="H2668" t="s">
        <v>62</v>
      </c>
      <c r="I2668">
        <v>2023</v>
      </c>
    </row>
    <row r="2669" spans="1:9" x14ac:dyDescent="0.3">
      <c r="A2669">
        <v>217998036</v>
      </c>
      <c r="B2669" s="1">
        <v>45132</v>
      </c>
      <c r="D2669" t="s">
        <v>7</v>
      </c>
      <c r="E2669">
        <v>39</v>
      </c>
      <c r="F2669" t="s">
        <v>6</v>
      </c>
      <c r="H2669" t="s">
        <v>62</v>
      </c>
      <c r="I2669">
        <v>2023</v>
      </c>
    </row>
    <row r="2670" spans="1:9" x14ac:dyDescent="0.3">
      <c r="A2670">
        <v>219100886</v>
      </c>
      <c r="B2670" s="1">
        <v>45132</v>
      </c>
      <c r="D2670" t="s">
        <v>7</v>
      </c>
      <c r="E2670">
        <v>39</v>
      </c>
      <c r="F2670" t="s">
        <v>6</v>
      </c>
      <c r="H2670" t="s">
        <v>62</v>
      </c>
      <c r="I2670">
        <v>2023</v>
      </c>
    </row>
    <row r="2671" spans="1:9" x14ac:dyDescent="0.3">
      <c r="A2671">
        <v>214586480</v>
      </c>
      <c r="B2671" s="1">
        <v>45132</v>
      </c>
      <c r="D2671" t="s">
        <v>7</v>
      </c>
      <c r="E2671">
        <v>39</v>
      </c>
      <c r="F2671" t="s">
        <v>6</v>
      </c>
      <c r="H2671" t="s">
        <v>62</v>
      </c>
      <c r="I2671">
        <v>2023</v>
      </c>
    </row>
    <row r="2672" spans="1:9" x14ac:dyDescent="0.3">
      <c r="A2672">
        <v>219110064</v>
      </c>
      <c r="B2672" s="1">
        <v>45132</v>
      </c>
      <c r="D2672" t="s">
        <v>7</v>
      </c>
      <c r="E2672">
        <v>39</v>
      </c>
      <c r="F2672" t="s">
        <v>6</v>
      </c>
      <c r="H2672" t="s">
        <v>62</v>
      </c>
      <c r="I2672">
        <v>2023</v>
      </c>
    </row>
    <row r="2673" spans="1:9" x14ac:dyDescent="0.3">
      <c r="A2673">
        <v>157374056</v>
      </c>
      <c r="B2673" s="1">
        <v>45132</v>
      </c>
      <c r="D2673" t="s">
        <v>7</v>
      </c>
      <c r="E2673">
        <v>39</v>
      </c>
      <c r="F2673" t="s">
        <v>6</v>
      </c>
      <c r="H2673" t="s">
        <v>62</v>
      </c>
      <c r="I2673">
        <v>2023</v>
      </c>
    </row>
    <row r="2674" spans="1:9" x14ac:dyDescent="0.3">
      <c r="A2674">
        <v>219058076</v>
      </c>
      <c r="B2674" s="1">
        <v>45132</v>
      </c>
      <c r="D2674" t="s">
        <v>7</v>
      </c>
      <c r="E2674">
        <v>39</v>
      </c>
      <c r="F2674" t="s">
        <v>6</v>
      </c>
      <c r="H2674" t="s">
        <v>62</v>
      </c>
      <c r="I2674">
        <v>2023</v>
      </c>
    </row>
    <row r="2675" spans="1:9" x14ac:dyDescent="0.3">
      <c r="A2675">
        <v>218011483</v>
      </c>
      <c r="B2675" s="1">
        <v>45132</v>
      </c>
      <c r="D2675" t="s">
        <v>7</v>
      </c>
      <c r="E2675">
        <v>39</v>
      </c>
      <c r="F2675" t="s">
        <v>6</v>
      </c>
      <c r="H2675" t="s">
        <v>62</v>
      </c>
      <c r="I2675">
        <v>2023</v>
      </c>
    </row>
    <row r="2676" spans="1:9" x14ac:dyDescent="0.3">
      <c r="A2676">
        <v>216543186</v>
      </c>
      <c r="B2676" s="1">
        <v>45132</v>
      </c>
      <c r="D2676" t="s">
        <v>7</v>
      </c>
      <c r="E2676">
        <v>39</v>
      </c>
      <c r="F2676" t="s">
        <v>6</v>
      </c>
      <c r="H2676" t="s">
        <v>62</v>
      </c>
      <c r="I2676">
        <v>2023</v>
      </c>
    </row>
    <row r="2677" spans="1:9" x14ac:dyDescent="0.3">
      <c r="A2677">
        <v>151239214</v>
      </c>
      <c r="B2677" s="1">
        <v>45132</v>
      </c>
      <c r="D2677" t="s">
        <v>7</v>
      </c>
      <c r="E2677">
        <v>39</v>
      </c>
      <c r="F2677" t="s">
        <v>6</v>
      </c>
      <c r="H2677" t="s">
        <v>62</v>
      </c>
      <c r="I2677">
        <v>2023</v>
      </c>
    </row>
    <row r="2678" spans="1:9" x14ac:dyDescent="0.3">
      <c r="A2678">
        <v>152760748</v>
      </c>
      <c r="B2678" s="1">
        <v>45132</v>
      </c>
      <c r="C2678" s="1">
        <v>45158</v>
      </c>
      <c r="D2678" t="s">
        <v>7</v>
      </c>
      <c r="E2678">
        <v>39</v>
      </c>
      <c r="F2678" t="s">
        <v>6</v>
      </c>
      <c r="G2678" s="19">
        <v>26</v>
      </c>
      <c r="H2678" t="s">
        <v>62</v>
      </c>
      <c r="I2678">
        <v>2023</v>
      </c>
    </row>
    <row r="2679" spans="1:9" x14ac:dyDescent="0.3">
      <c r="A2679">
        <v>182102820</v>
      </c>
      <c r="B2679" s="1">
        <v>45132</v>
      </c>
      <c r="C2679" s="1">
        <v>45170</v>
      </c>
      <c r="D2679" t="s">
        <v>7</v>
      </c>
      <c r="E2679">
        <v>39</v>
      </c>
      <c r="F2679" t="s">
        <v>6</v>
      </c>
      <c r="G2679" s="19">
        <v>38</v>
      </c>
      <c r="H2679" t="s">
        <v>62</v>
      </c>
      <c r="I2679">
        <v>2023</v>
      </c>
    </row>
    <row r="2680" spans="1:9" x14ac:dyDescent="0.3">
      <c r="A2680">
        <v>215005163</v>
      </c>
      <c r="B2680" s="1">
        <v>45132</v>
      </c>
      <c r="C2680" s="1">
        <v>45155</v>
      </c>
      <c r="D2680" t="s">
        <v>7</v>
      </c>
      <c r="E2680">
        <v>39</v>
      </c>
      <c r="F2680" t="s">
        <v>6</v>
      </c>
      <c r="G2680" s="19">
        <v>23</v>
      </c>
      <c r="H2680" t="s">
        <v>62</v>
      </c>
      <c r="I2680">
        <v>2023</v>
      </c>
    </row>
    <row r="2681" spans="1:9" x14ac:dyDescent="0.3">
      <c r="A2681">
        <v>219136846</v>
      </c>
      <c r="B2681" s="1">
        <v>45132</v>
      </c>
      <c r="C2681" s="1">
        <v>45140</v>
      </c>
      <c r="D2681" t="s">
        <v>7</v>
      </c>
      <c r="E2681">
        <v>39</v>
      </c>
      <c r="F2681" t="s">
        <v>6</v>
      </c>
      <c r="G2681" s="19">
        <v>8</v>
      </c>
      <c r="H2681" t="s">
        <v>62</v>
      </c>
      <c r="I2681">
        <v>2023</v>
      </c>
    </row>
    <row r="2682" spans="1:9" x14ac:dyDescent="0.3">
      <c r="A2682">
        <v>218795222</v>
      </c>
      <c r="B2682" s="1">
        <v>45132</v>
      </c>
      <c r="C2682" s="1">
        <v>45161</v>
      </c>
      <c r="D2682" t="s">
        <v>7</v>
      </c>
      <c r="E2682">
        <v>39</v>
      </c>
      <c r="F2682" t="s">
        <v>6</v>
      </c>
      <c r="G2682" s="19">
        <v>29</v>
      </c>
      <c r="H2682" t="s">
        <v>62</v>
      </c>
      <c r="I2682">
        <v>2023</v>
      </c>
    </row>
    <row r="2683" spans="1:9" x14ac:dyDescent="0.3">
      <c r="A2683">
        <v>208706876</v>
      </c>
      <c r="B2683" s="1">
        <v>45132</v>
      </c>
      <c r="C2683" s="1">
        <v>45159</v>
      </c>
      <c r="D2683" t="s">
        <v>7</v>
      </c>
      <c r="E2683">
        <v>39</v>
      </c>
      <c r="F2683" t="s">
        <v>6</v>
      </c>
      <c r="G2683" s="19">
        <v>27</v>
      </c>
      <c r="H2683" t="s">
        <v>62</v>
      </c>
      <c r="I2683">
        <v>2023</v>
      </c>
    </row>
    <row r="2684" spans="1:9" x14ac:dyDescent="0.3">
      <c r="A2684">
        <v>218701308</v>
      </c>
      <c r="B2684" s="1">
        <v>45132</v>
      </c>
      <c r="C2684" s="1">
        <v>45170</v>
      </c>
      <c r="D2684" t="s">
        <v>7</v>
      </c>
      <c r="E2684">
        <v>39</v>
      </c>
      <c r="F2684" t="s">
        <v>6</v>
      </c>
      <c r="G2684" s="19">
        <v>38</v>
      </c>
      <c r="H2684" t="s">
        <v>62</v>
      </c>
      <c r="I2684">
        <v>2023</v>
      </c>
    </row>
    <row r="2685" spans="1:9" x14ac:dyDescent="0.3">
      <c r="A2685">
        <v>219136623</v>
      </c>
      <c r="B2685" s="1">
        <v>45132</v>
      </c>
      <c r="C2685" s="1">
        <v>45170</v>
      </c>
      <c r="D2685" t="s">
        <v>7</v>
      </c>
      <c r="E2685">
        <v>39</v>
      </c>
      <c r="F2685" t="s">
        <v>6</v>
      </c>
      <c r="G2685" s="19">
        <v>38</v>
      </c>
      <c r="H2685" t="s">
        <v>62</v>
      </c>
      <c r="I2685">
        <v>2023</v>
      </c>
    </row>
    <row r="2686" spans="1:9" x14ac:dyDescent="0.3">
      <c r="A2686">
        <v>219153922</v>
      </c>
      <c r="B2686" s="1">
        <v>45133</v>
      </c>
      <c r="D2686" t="s">
        <v>7</v>
      </c>
      <c r="E2686">
        <v>39</v>
      </c>
      <c r="F2686" t="s">
        <v>6</v>
      </c>
      <c r="H2686" t="s">
        <v>63</v>
      </c>
      <c r="I2686">
        <v>2023</v>
      </c>
    </row>
    <row r="2687" spans="1:9" x14ac:dyDescent="0.3">
      <c r="A2687">
        <v>165529460</v>
      </c>
      <c r="B2687" s="1">
        <v>45133</v>
      </c>
      <c r="D2687" t="s">
        <v>7</v>
      </c>
      <c r="E2687">
        <v>39</v>
      </c>
      <c r="F2687" t="s">
        <v>6</v>
      </c>
      <c r="H2687" t="s">
        <v>63</v>
      </c>
      <c r="I2687">
        <v>2023</v>
      </c>
    </row>
    <row r="2688" spans="1:9" x14ac:dyDescent="0.3">
      <c r="A2688">
        <v>218715792</v>
      </c>
      <c r="B2688" s="1">
        <v>45133</v>
      </c>
      <c r="D2688" t="s">
        <v>7</v>
      </c>
      <c r="E2688">
        <v>39</v>
      </c>
      <c r="F2688" t="s">
        <v>6</v>
      </c>
      <c r="H2688" t="s">
        <v>63</v>
      </c>
      <c r="I2688">
        <v>2023</v>
      </c>
    </row>
    <row r="2689" spans="1:9" x14ac:dyDescent="0.3">
      <c r="A2689">
        <v>218985028</v>
      </c>
      <c r="B2689" s="1">
        <v>45133</v>
      </c>
      <c r="D2689" t="s">
        <v>7</v>
      </c>
      <c r="E2689">
        <v>39</v>
      </c>
      <c r="F2689" t="s">
        <v>6</v>
      </c>
      <c r="H2689" t="s">
        <v>63</v>
      </c>
      <c r="I2689">
        <v>2023</v>
      </c>
    </row>
    <row r="2690" spans="1:9" x14ac:dyDescent="0.3">
      <c r="A2690">
        <v>218986352</v>
      </c>
      <c r="B2690" s="1">
        <v>45133</v>
      </c>
      <c r="D2690" t="s">
        <v>7</v>
      </c>
      <c r="E2690">
        <v>39</v>
      </c>
      <c r="F2690" t="s">
        <v>6</v>
      </c>
      <c r="H2690" t="s">
        <v>63</v>
      </c>
      <c r="I2690">
        <v>2023</v>
      </c>
    </row>
    <row r="2691" spans="1:9" x14ac:dyDescent="0.3">
      <c r="A2691">
        <v>219152822</v>
      </c>
      <c r="B2691" s="1">
        <v>45133</v>
      </c>
      <c r="C2691" s="1">
        <v>45174</v>
      </c>
      <c r="D2691" t="s">
        <v>7</v>
      </c>
      <c r="E2691">
        <v>39</v>
      </c>
      <c r="F2691" t="s">
        <v>6</v>
      </c>
      <c r="G2691" s="19">
        <v>41</v>
      </c>
      <c r="H2691" t="s">
        <v>63</v>
      </c>
      <c r="I2691">
        <v>2023</v>
      </c>
    </row>
    <row r="2692" spans="1:9" x14ac:dyDescent="0.3">
      <c r="A2692">
        <v>219084587</v>
      </c>
      <c r="B2692" s="1">
        <v>45133</v>
      </c>
      <c r="C2692" s="1">
        <v>45134</v>
      </c>
      <c r="D2692" t="s">
        <v>8</v>
      </c>
      <c r="E2692">
        <v>39</v>
      </c>
      <c r="F2692" t="s">
        <v>6</v>
      </c>
      <c r="G2692" s="19">
        <v>1</v>
      </c>
      <c r="H2692" t="s">
        <v>63</v>
      </c>
      <c r="I2692">
        <v>2023</v>
      </c>
    </row>
    <row r="2693" spans="1:9" x14ac:dyDescent="0.3">
      <c r="A2693">
        <v>219200064</v>
      </c>
      <c r="B2693" s="1">
        <v>45133</v>
      </c>
      <c r="C2693" s="1">
        <v>45171</v>
      </c>
      <c r="D2693" t="s">
        <v>7</v>
      </c>
      <c r="E2693">
        <v>39</v>
      </c>
      <c r="F2693" t="s">
        <v>6</v>
      </c>
      <c r="G2693" s="19">
        <v>38</v>
      </c>
      <c r="H2693" t="s">
        <v>63</v>
      </c>
      <c r="I2693">
        <v>2023</v>
      </c>
    </row>
    <row r="2694" spans="1:9" x14ac:dyDescent="0.3">
      <c r="A2694">
        <v>219224963</v>
      </c>
      <c r="B2694" s="1">
        <v>45134</v>
      </c>
      <c r="D2694" t="s">
        <v>7</v>
      </c>
      <c r="E2694">
        <v>39</v>
      </c>
      <c r="F2694" t="s">
        <v>6</v>
      </c>
      <c r="H2694" t="s">
        <v>64</v>
      </c>
      <c r="I2694">
        <v>2023</v>
      </c>
    </row>
    <row r="2695" spans="1:9" x14ac:dyDescent="0.3">
      <c r="A2695">
        <v>219172302</v>
      </c>
      <c r="B2695" s="1">
        <v>45134</v>
      </c>
      <c r="D2695" t="s">
        <v>7</v>
      </c>
      <c r="E2695">
        <v>39</v>
      </c>
      <c r="F2695" t="s">
        <v>6</v>
      </c>
      <c r="H2695" t="s">
        <v>64</v>
      </c>
      <c r="I2695">
        <v>2023</v>
      </c>
    </row>
    <row r="2696" spans="1:9" x14ac:dyDescent="0.3">
      <c r="A2696">
        <v>219244336</v>
      </c>
      <c r="B2696" s="1">
        <v>45134</v>
      </c>
      <c r="D2696" t="s">
        <v>7</v>
      </c>
      <c r="E2696">
        <v>39</v>
      </c>
      <c r="F2696" t="s">
        <v>6</v>
      </c>
      <c r="H2696" t="s">
        <v>64</v>
      </c>
      <c r="I2696">
        <v>2023</v>
      </c>
    </row>
    <row r="2697" spans="1:9" x14ac:dyDescent="0.3">
      <c r="A2697">
        <v>150342446</v>
      </c>
      <c r="B2697" s="1">
        <v>45134</v>
      </c>
      <c r="D2697" t="s">
        <v>7</v>
      </c>
      <c r="E2697">
        <v>39</v>
      </c>
      <c r="F2697" t="s">
        <v>6</v>
      </c>
      <c r="H2697" t="s">
        <v>64</v>
      </c>
      <c r="I2697">
        <v>2023</v>
      </c>
    </row>
    <row r="2698" spans="1:9" x14ac:dyDescent="0.3">
      <c r="A2698">
        <v>210432172</v>
      </c>
      <c r="B2698" s="1">
        <v>45134</v>
      </c>
      <c r="D2698" t="s">
        <v>7</v>
      </c>
      <c r="E2698">
        <v>39</v>
      </c>
      <c r="F2698" t="s">
        <v>6</v>
      </c>
      <c r="H2698" t="s">
        <v>64</v>
      </c>
      <c r="I2698">
        <v>2023</v>
      </c>
    </row>
    <row r="2699" spans="1:9" x14ac:dyDescent="0.3">
      <c r="A2699">
        <v>145614180</v>
      </c>
      <c r="B2699" s="1">
        <v>45134</v>
      </c>
      <c r="D2699" t="s">
        <v>7</v>
      </c>
      <c r="E2699">
        <v>39</v>
      </c>
      <c r="F2699" t="s">
        <v>6</v>
      </c>
      <c r="H2699" t="s">
        <v>64</v>
      </c>
      <c r="I2699">
        <v>2023</v>
      </c>
    </row>
    <row r="2700" spans="1:9" x14ac:dyDescent="0.3">
      <c r="A2700">
        <v>218318466</v>
      </c>
      <c r="B2700" s="1">
        <v>45134</v>
      </c>
      <c r="D2700" t="s">
        <v>7</v>
      </c>
      <c r="E2700">
        <v>39</v>
      </c>
      <c r="F2700" t="s">
        <v>6</v>
      </c>
      <c r="H2700" t="s">
        <v>64</v>
      </c>
      <c r="I2700">
        <v>2023</v>
      </c>
    </row>
    <row r="2701" spans="1:9" x14ac:dyDescent="0.3">
      <c r="A2701">
        <v>131984682</v>
      </c>
      <c r="B2701" s="1">
        <v>45134</v>
      </c>
      <c r="D2701" t="s">
        <v>7</v>
      </c>
      <c r="E2701">
        <v>39</v>
      </c>
      <c r="F2701" t="s">
        <v>6</v>
      </c>
      <c r="H2701" t="s">
        <v>64</v>
      </c>
      <c r="I2701">
        <v>2023</v>
      </c>
    </row>
    <row r="2702" spans="1:9" x14ac:dyDescent="0.3">
      <c r="A2702">
        <v>219243156</v>
      </c>
      <c r="B2702" s="1">
        <v>45134</v>
      </c>
      <c r="C2702" s="1">
        <v>45134</v>
      </c>
      <c r="D2702" t="s">
        <v>7</v>
      </c>
      <c r="E2702">
        <v>39</v>
      </c>
      <c r="F2702" t="s">
        <v>6</v>
      </c>
      <c r="G2702" s="19">
        <v>0</v>
      </c>
      <c r="H2702" t="s">
        <v>64</v>
      </c>
      <c r="I2702">
        <v>2023</v>
      </c>
    </row>
    <row r="2703" spans="1:9" x14ac:dyDescent="0.3">
      <c r="A2703">
        <v>219301778</v>
      </c>
      <c r="B2703" s="1">
        <v>45135</v>
      </c>
      <c r="D2703" t="s">
        <v>7</v>
      </c>
      <c r="E2703">
        <v>39</v>
      </c>
      <c r="F2703" t="s">
        <v>6</v>
      </c>
      <c r="H2703" t="s">
        <v>65</v>
      </c>
      <c r="I2703">
        <v>2023</v>
      </c>
    </row>
    <row r="2704" spans="1:9" x14ac:dyDescent="0.3">
      <c r="A2704">
        <v>153004062</v>
      </c>
      <c r="B2704" s="1">
        <v>45135</v>
      </c>
      <c r="D2704" t="s">
        <v>7</v>
      </c>
      <c r="E2704">
        <v>39</v>
      </c>
      <c r="F2704" t="s">
        <v>6</v>
      </c>
      <c r="H2704" t="s">
        <v>65</v>
      </c>
      <c r="I2704">
        <v>2023</v>
      </c>
    </row>
    <row r="2705" spans="1:9" x14ac:dyDescent="0.3">
      <c r="A2705">
        <v>151015350</v>
      </c>
      <c r="B2705" s="1">
        <v>45135</v>
      </c>
      <c r="D2705" t="s">
        <v>7</v>
      </c>
      <c r="E2705">
        <v>39</v>
      </c>
      <c r="F2705" t="s">
        <v>6</v>
      </c>
      <c r="H2705" t="s">
        <v>65</v>
      </c>
      <c r="I2705">
        <v>2023</v>
      </c>
    </row>
    <row r="2706" spans="1:9" x14ac:dyDescent="0.3">
      <c r="A2706">
        <v>147696294</v>
      </c>
      <c r="B2706" s="1">
        <v>45135</v>
      </c>
      <c r="D2706" t="s">
        <v>7</v>
      </c>
      <c r="E2706">
        <v>39</v>
      </c>
      <c r="F2706" t="s">
        <v>6</v>
      </c>
      <c r="H2706" t="s">
        <v>65</v>
      </c>
      <c r="I2706">
        <v>2023</v>
      </c>
    </row>
    <row r="2707" spans="1:9" x14ac:dyDescent="0.3">
      <c r="A2707">
        <v>218255956</v>
      </c>
      <c r="B2707" s="1">
        <v>45135</v>
      </c>
      <c r="D2707" t="s">
        <v>7</v>
      </c>
      <c r="E2707">
        <v>39</v>
      </c>
      <c r="F2707" t="s">
        <v>6</v>
      </c>
      <c r="H2707" t="s">
        <v>65</v>
      </c>
      <c r="I2707">
        <v>2023</v>
      </c>
    </row>
    <row r="2708" spans="1:9" x14ac:dyDescent="0.3">
      <c r="A2708">
        <v>218510841</v>
      </c>
      <c r="B2708" s="1">
        <v>45135</v>
      </c>
      <c r="D2708" t="s">
        <v>7</v>
      </c>
      <c r="E2708">
        <v>39</v>
      </c>
      <c r="F2708" t="s">
        <v>6</v>
      </c>
      <c r="H2708" t="s">
        <v>65</v>
      </c>
      <c r="I2708">
        <v>2023</v>
      </c>
    </row>
    <row r="2709" spans="1:9" x14ac:dyDescent="0.3">
      <c r="A2709">
        <v>130864124</v>
      </c>
      <c r="B2709" s="1">
        <v>45135</v>
      </c>
      <c r="D2709" t="s">
        <v>7</v>
      </c>
      <c r="E2709">
        <v>39</v>
      </c>
      <c r="F2709" t="s">
        <v>6</v>
      </c>
      <c r="H2709" t="s">
        <v>65</v>
      </c>
      <c r="I2709">
        <v>2023</v>
      </c>
    </row>
    <row r="2710" spans="1:9" x14ac:dyDescent="0.3">
      <c r="A2710">
        <v>219194059</v>
      </c>
      <c r="B2710" s="1">
        <v>45135</v>
      </c>
      <c r="D2710" t="s">
        <v>7</v>
      </c>
      <c r="E2710">
        <v>39</v>
      </c>
      <c r="F2710" t="s">
        <v>6</v>
      </c>
      <c r="H2710" t="s">
        <v>65</v>
      </c>
      <c r="I2710">
        <v>2023</v>
      </c>
    </row>
    <row r="2711" spans="1:9" x14ac:dyDescent="0.3">
      <c r="A2711">
        <v>219254134</v>
      </c>
      <c r="B2711" s="1">
        <v>45135</v>
      </c>
      <c r="D2711" t="s">
        <v>7</v>
      </c>
      <c r="E2711">
        <v>39</v>
      </c>
      <c r="F2711" t="s">
        <v>6</v>
      </c>
      <c r="H2711" t="s">
        <v>65</v>
      </c>
      <c r="I2711">
        <v>2023</v>
      </c>
    </row>
    <row r="2712" spans="1:9" x14ac:dyDescent="0.3">
      <c r="A2712">
        <v>215881016</v>
      </c>
      <c r="B2712" s="1">
        <v>45135</v>
      </c>
      <c r="D2712" t="s">
        <v>7</v>
      </c>
      <c r="E2712">
        <v>39</v>
      </c>
      <c r="F2712" t="s">
        <v>6</v>
      </c>
      <c r="H2712" t="s">
        <v>65</v>
      </c>
      <c r="I2712">
        <v>2023</v>
      </c>
    </row>
    <row r="2713" spans="1:9" x14ac:dyDescent="0.3">
      <c r="A2713">
        <v>217361520</v>
      </c>
      <c r="B2713" s="1">
        <v>45135</v>
      </c>
      <c r="D2713" t="s">
        <v>7</v>
      </c>
      <c r="E2713">
        <v>39</v>
      </c>
      <c r="F2713" t="s">
        <v>6</v>
      </c>
      <c r="H2713" t="s">
        <v>65</v>
      </c>
      <c r="I2713">
        <v>2023</v>
      </c>
    </row>
    <row r="2714" spans="1:9" x14ac:dyDescent="0.3">
      <c r="A2714">
        <v>219265654</v>
      </c>
      <c r="B2714" s="1">
        <v>45135</v>
      </c>
      <c r="D2714" t="s">
        <v>7</v>
      </c>
      <c r="E2714">
        <v>39</v>
      </c>
      <c r="F2714" t="s">
        <v>6</v>
      </c>
      <c r="H2714" t="s">
        <v>65</v>
      </c>
      <c r="I2714">
        <v>2023</v>
      </c>
    </row>
    <row r="2715" spans="1:9" x14ac:dyDescent="0.3">
      <c r="A2715">
        <v>175491846</v>
      </c>
      <c r="B2715" s="1">
        <v>45135</v>
      </c>
      <c r="C2715" s="1">
        <v>45136</v>
      </c>
      <c r="D2715" t="s">
        <v>7</v>
      </c>
      <c r="E2715">
        <v>39</v>
      </c>
      <c r="F2715" t="s">
        <v>6</v>
      </c>
      <c r="G2715" s="19">
        <v>1</v>
      </c>
      <c r="H2715" t="s">
        <v>65</v>
      </c>
      <c r="I2715">
        <v>2023</v>
      </c>
    </row>
    <row r="2716" spans="1:9" x14ac:dyDescent="0.3">
      <c r="A2716">
        <v>212603850</v>
      </c>
      <c r="B2716" s="1">
        <v>45135</v>
      </c>
      <c r="C2716" s="1">
        <v>45164</v>
      </c>
      <c r="D2716" t="s">
        <v>7</v>
      </c>
      <c r="E2716">
        <v>39</v>
      </c>
      <c r="F2716" t="s">
        <v>6</v>
      </c>
      <c r="G2716" s="19">
        <v>29</v>
      </c>
      <c r="H2716" t="s">
        <v>65</v>
      </c>
      <c r="I2716">
        <v>2023</v>
      </c>
    </row>
    <row r="2717" spans="1:9" x14ac:dyDescent="0.3">
      <c r="A2717">
        <v>219307145</v>
      </c>
      <c r="B2717" s="1">
        <v>45136</v>
      </c>
      <c r="D2717" t="s">
        <v>7</v>
      </c>
      <c r="E2717">
        <v>39</v>
      </c>
      <c r="F2717" t="s">
        <v>6</v>
      </c>
      <c r="H2717" t="s">
        <v>66</v>
      </c>
      <c r="I2717">
        <v>2023</v>
      </c>
    </row>
    <row r="2718" spans="1:9" x14ac:dyDescent="0.3">
      <c r="A2718">
        <v>212937420</v>
      </c>
      <c r="B2718" s="1">
        <v>45136</v>
      </c>
      <c r="C2718" s="1">
        <v>45174</v>
      </c>
      <c r="D2718" t="s">
        <v>7</v>
      </c>
      <c r="E2718">
        <v>39</v>
      </c>
      <c r="F2718" t="s">
        <v>6</v>
      </c>
      <c r="G2718" s="19">
        <v>38</v>
      </c>
      <c r="H2718" t="s">
        <v>66</v>
      </c>
      <c r="I2718">
        <v>2023</v>
      </c>
    </row>
    <row r="2719" spans="1:9" x14ac:dyDescent="0.3">
      <c r="A2719">
        <v>219318511</v>
      </c>
      <c r="B2719" s="1">
        <v>45136</v>
      </c>
      <c r="C2719" s="1">
        <v>45156</v>
      </c>
      <c r="D2719" t="s">
        <v>7</v>
      </c>
      <c r="E2719">
        <v>39</v>
      </c>
      <c r="F2719" t="s">
        <v>6</v>
      </c>
      <c r="G2719" s="19">
        <v>20</v>
      </c>
      <c r="H2719" t="s">
        <v>66</v>
      </c>
      <c r="I2719">
        <v>2023</v>
      </c>
    </row>
    <row r="2720" spans="1:9" x14ac:dyDescent="0.3">
      <c r="A2720">
        <v>218513479</v>
      </c>
      <c r="B2720" s="1">
        <v>45136</v>
      </c>
      <c r="C2720" s="1">
        <v>45163</v>
      </c>
      <c r="D2720" t="s">
        <v>7</v>
      </c>
      <c r="E2720">
        <v>39</v>
      </c>
      <c r="F2720" t="s">
        <v>6</v>
      </c>
      <c r="G2720" s="19">
        <v>27</v>
      </c>
      <c r="H2720" t="s">
        <v>66</v>
      </c>
      <c r="I2720">
        <v>2023</v>
      </c>
    </row>
    <row r="2721" spans="1:9" x14ac:dyDescent="0.3">
      <c r="A2721">
        <v>219301764</v>
      </c>
      <c r="B2721" s="1">
        <v>45136</v>
      </c>
      <c r="C2721" s="1">
        <v>45165</v>
      </c>
      <c r="D2721" t="s">
        <v>7</v>
      </c>
      <c r="E2721">
        <v>39</v>
      </c>
      <c r="F2721" t="s">
        <v>6</v>
      </c>
      <c r="G2721" s="19">
        <v>29</v>
      </c>
      <c r="H2721" t="s">
        <v>66</v>
      </c>
      <c r="I2721">
        <v>2023</v>
      </c>
    </row>
    <row r="2722" spans="1:9" x14ac:dyDescent="0.3">
      <c r="A2722">
        <v>125038257</v>
      </c>
      <c r="B2722" s="1">
        <v>45137</v>
      </c>
      <c r="D2722" t="s">
        <v>7</v>
      </c>
      <c r="E2722">
        <v>39</v>
      </c>
      <c r="F2722" t="s">
        <v>6</v>
      </c>
      <c r="H2722" t="s">
        <v>60</v>
      </c>
      <c r="I2722">
        <v>2023</v>
      </c>
    </row>
    <row r="2723" spans="1:9" x14ac:dyDescent="0.3">
      <c r="A2723">
        <v>217813451</v>
      </c>
      <c r="B2723" s="1">
        <v>45137</v>
      </c>
      <c r="D2723" t="s">
        <v>7</v>
      </c>
      <c r="E2723">
        <v>39</v>
      </c>
      <c r="F2723" t="s">
        <v>6</v>
      </c>
      <c r="H2723" t="s">
        <v>60</v>
      </c>
      <c r="I2723">
        <v>2023</v>
      </c>
    </row>
    <row r="2724" spans="1:9" x14ac:dyDescent="0.3">
      <c r="A2724">
        <v>162859352</v>
      </c>
      <c r="B2724" s="1">
        <v>45137</v>
      </c>
      <c r="C2724" s="1">
        <v>45138</v>
      </c>
      <c r="D2724" t="s">
        <v>8</v>
      </c>
      <c r="E2724">
        <v>39</v>
      </c>
      <c r="F2724" t="s">
        <v>6</v>
      </c>
      <c r="G2724" s="19">
        <v>1</v>
      </c>
      <c r="H2724" t="s">
        <v>60</v>
      </c>
      <c r="I2724">
        <v>2023</v>
      </c>
    </row>
    <row r="2725" spans="1:9" x14ac:dyDescent="0.3">
      <c r="A2725">
        <v>146923161</v>
      </c>
      <c r="B2725" s="1">
        <v>45137</v>
      </c>
      <c r="C2725" s="1">
        <v>45175</v>
      </c>
      <c r="D2725" t="s">
        <v>7</v>
      </c>
      <c r="E2725">
        <v>39</v>
      </c>
      <c r="F2725" t="s">
        <v>6</v>
      </c>
      <c r="G2725" s="19">
        <v>38</v>
      </c>
      <c r="H2725" t="s">
        <v>60</v>
      </c>
      <c r="I2725">
        <v>2023</v>
      </c>
    </row>
    <row r="2726" spans="1:9" x14ac:dyDescent="0.3">
      <c r="A2726">
        <v>206699284</v>
      </c>
      <c r="B2726" s="1">
        <v>45137</v>
      </c>
      <c r="C2726" s="1">
        <v>45166</v>
      </c>
      <c r="D2726" t="s">
        <v>7</v>
      </c>
      <c r="E2726">
        <v>39</v>
      </c>
      <c r="F2726" t="s">
        <v>6</v>
      </c>
      <c r="G2726" s="19">
        <v>29</v>
      </c>
      <c r="H2726" t="s">
        <v>60</v>
      </c>
      <c r="I2726">
        <v>2023</v>
      </c>
    </row>
    <row r="2727" spans="1:9" x14ac:dyDescent="0.3">
      <c r="A2727">
        <v>219330169</v>
      </c>
      <c r="B2727" s="1">
        <v>45137</v>
      </c>
      <c r="C2727" s="1">
        <v>45166</v>
      </c>
      <c r="D2727" t="s">
        <v>7</v>
      </c>
      <c r="E2727">
        <v>39</v>
      </c>
      <c r="F2727" t="s">
        <v>6</v>
      </c>
      <c r="G2727" s="19">
        <v>29</v>
      </c>
      <c r="H2727" t="s">
        <v>60</v>
      </c>
      <c r="I2727">
        <v>2023</v>
      </c>
    </row>
    <row r="2728" spans="1:9" x14ac:dyDescent="0.3">
      <c r="A2728">
        <v>219404710</v>
      </c>
      <c r="B2728" s="1">
        <v>45138</v>
      </c>
      <c r="D2728" t="s">
        <v>7</v>
      </c>
      <c r="E2728">
        <v>39</v>
      </c>
      <c r="F2728" t="s">
        <v>6</v>
      </c>
      <c r="H2728" t="s">
        <v>61</v>
      </c>
      <c r="I2728">
        <v>2023</v>
      </c>
    </row>
    <row r="2729" spans="1:9" x14ac:dyDescent="0.3">
      <c r="A2729">
        <v>219402896</v>
      </c>
      <c r="B2729" s="1">
        <v>45138</v>
      </c>
      <c r="D2729" t="s">
        <v>7</v>
      </c>
      <c r="E2729">
        <v>39</v>
      </c>
      <c r="F2729" t="s">
        <v>6</v>
      </c>
      <c r="H2729" t="s">
        <v>61</v>
      </c>
      <c r="I2729">
        <v>2023</v>
      </c>
    </row>
    <row r="2730" spans="1:9" x14ac:dyDescent="0.3">
      <c r="A2730">
        <v>214129448</v>
      </c>
      <c r="B2730" s="1">
        <v>45138</v>
      </c>
      <c r="D2730" t="s">
        <v>7</v>
      </c>
      <c r="E2730">
        <v>39</v>
      </c>
      <c r="F2730" t="s">
        <v>6</v>
      </c>
      <c r="H2730" t="s">
        <v>61</v>
      </c>
      <c r="I2730">
        <v>2023</v>
      </c>
    </row>
    <row r="2731" spans="1:9" x14ac:dyDescent="0.3">
      <c r="A2731">
        <v>219218929</v>
      </c>
      <c r="B2731" s="1">
        <v>45138</v>
      </c>
      <c r="D2731" t="s">
        <v>7</v>
      </c>
      <c r="E2731">
        <v>39</v>
      </c>
      <c r="F2731" t="s">
        <v>6</v>
      </c>
      <c r="H2731" t="s">
        <v>61</v>
      </c>
      <c r="I2731">
        <v>2023</v>
      </c>
    </row>
    <row r="2732" spans="1:9" x14ac:dyDescent="0.3">
      <c r="A2732">
        <v>219385880</v>
      </c>
      <c r="B2732" s="1">
        <v>45138</v>
      </c>
      <c r="D2732" t="s">
        <v>7</v>
      </c>
      <c r="E2732">
        <v>39</v>
      </c>
      <c r="F2732" t="s">
        <v>6</v>
      </c>
      <c r="H2732" t="s">
        <v>61</v>
      </c>
      <c r="I2732">
        <v>2023</v>
      </c>
    </row>
    <row r="2733" spans="1:9" x14ac:dyDescent="0.3">
      <c r="A2733">
        <v>219368039</v>
      </c>
      <c r="B2733" s="1">
        <v>45138</v>
      </c>
      <c r="D2733" t="s">
        <v>7</v>
      </c>
      <c r="E2733">
        <v>39</v>
      </c>
      <c r="F2733" t="s">
        <v>6</v>
      </c>
      <c r="H2733" t="s">
        <v>61</v>
      </c>
      <c r="I2733">
        <v>2023</v>
      </c>
    </row>
    <row r="2734" spans="1:9" x14ac:dyDescent="0.3">
      <c r="A2734">
        <v>219328313</v>
      </c>
      <c r="B2734" s="1">
        <v>45138</v>
      </c>
      <c r="D2734" t="s">
        <v>7</v>
      </c>
      <c r="E2734">
        <v>39</v>
      </c>
      <c r="F2734" t="s">
        <v>6</v>
      </c>
      <c r="H2734" t="s">
        <v>61</v>
      </c>
      <c r="I2734">
        <v>2023</v>
      </c>
    </row>
    <row r="2735" spans="1:9" x14ac:dyDescent="0.3">
      <c r="A2735">
        <v>219185386</v>
      </c>
      <c r="B2735" s="1">
        <v>45138</v>
      </c>
      <c r="C2735" s="1">
        <v>45139</v>
      </c>
      <c r="D2735" t="s">
        <v>8</v>
      </c>
      <c r="E2735">
        <v>39</v>
      </c>
      <c r="F2735" t="s">
        <v>6</v>
      </c>
      <c r="G2735" s="19">
        <v>1</v>
      </c>
      <c r="H2735" t="s">
        <v>61</v>
      </c>
      <c r="I2735">
        <v>2023</v>
      </c>
    </row>
    <row r="2736" spans="1:9" x14ac:dyDescent="0.3">
      <c r="A2736">
        <v>183712256</v>
      </c>
      <c r="B2736" s="1">
        <v>45138</v>
      </c>
      <c r="C2736" s="1">
        <v>45146</v>
      </c>
      <c r="D2736" t="s">
        <v>7</v>
      </c>
      <c r="E2736">
        <v>39</v>
      </c>
      <c r="F2736" t="s">
        <v>6</v>
      </c>
      <c r="G2736" s="19">
        <v>8</v>
      </c>
      <c r="H2736" t="s">
        <v>61</v>
      </c>
      <c r="I2736">
        <v>2023</v>
      </c>
    </row>
    <row r="2737" spans="1:9" x14ac:dyDescent="0.3">
      <c r="A2737">
        <v>217624207</v>
      </c>
      <c r="B2737" s="1">
        <v>45139</v>
      </c>
      <c r="D2737" t="s">
        <v>7</v>
      </c>
      <c r="E2737">
        <v>39</v>
      </c>
      <c r="F2737" t="s">
        <v>6</v>
      </c>
      <c r="H2737" t="s">
        <v>62</v>
      </c>
      <c r="I2737">
        <v>2023</v>
      </c>
    </row>
    <row r="2738" spans="1:9" x14ac:dyDescent="0.3">
      <c r="A2738">
        <v>218938921</v>
      </c>
      <c r="B2738" s="1">
        <v>45139</v>
      </c>
      <c r="D2738" t="s">
        <v>7</v>
      </c>
      <c r="E2738">
        <v>39</v>
      </c>
      <c r="F2738" t="s">
        <v>6</v>
      </c>
      <c r="H2738" t="s">
        <v>62</v>
      </c>
      <c r="I2738">
        <v>2023</v>
      </c>
    </row>
    <row r="2739" spans="1:9" x14ac:dyDescent="0.3">
      <c r="A2739">
        <v>147145693</v>
      </c>
      <c r="B2739" s="1">
        <v>45139</v>
      </c>
      <c r="D2739" t="s">
        <v>7</v>
      </c>
      <c r="E2739">
        <v>39</v>
      </c>
      <c r="F2739" t="s">
        <v>6</v>
      </c>
      <c r="H2739" t="s">
        <v>62</v>
      </c>
      <c r="I2739">
        <v>2023</v>
      </c>
    </row>
    <row r="2740" spans="1:9" x14ac:dyDescent="0.3">
      <c r="A2740">
        <v>218459038</v>
      </c>
      <c r="B2740" s="1">
        <v>45139</v>
      </c>
      <c r="D2740" t="s">
        <v>7</v>
      </c>
      <c r="E2740">
        <v>39</v>
      </c>
      <c r="F2740" t="s">
        <v>6</v>
      </c>
      <c r="H2740" t="s">
        <v>62</v>
      </c>
      <c r="I2740">
        <v>2023</v>
      </c>
    </row>
    <row r="2741" spans="1:9" x14ac:dyDescent="0.3">
      <c r="A2741">
        <v>219395734</v>
      </c>
      <c r="B2741" s="1">
        <v>45139</v>
      </c>
      <c r="D2741" t="s">
        <v>7</v>
      </c>
      <c r="E2741">
        <v>39</v>
      </c>
      <c r="F2741" t="s">
        <v>6</v>
      </c>
      <c r="H2741" t="s">
        <v>62</v>
      </c>
      <c r="I2741">
        <v>2023</v>
      </c>
    </row>
    <row r="2742" spans="1:9" x14ac:dyDescent="0.3">
      <c r="A2742">
        <v>219413956</v>
      </c>
      <c r="B2742" s="1">
        <v>45139</v>
      </c>
      <c r="D2742" t="s">
        <v>7</v>
      </c>
      <c r="E2742">
        <v>39</v>
      </c>
      <c r="F2742" t="s">
        <v>6</v>
      </c>
      <c r="H2742" t="s">
        <v>62</v>
      </c>
      <c r="I2742">
        <v>2023</v>
      </c>
    </row>
    <row r="2743" spans="1:9" x14ac:dyDescent="0.3">
      <c r="A2743">
        <v>218562434</v>
      </c>
      <c r="B2743" s="1">
        <v>45139</v>
      </c>
      <c r="C2743" s="1">
        <v>45170</v>
      </c>
      <c r="D2743" t="s">
        <v>7</v>
      </c>
      <c r="E2743">
        <v>39</v>
      </c>
      <c r="F2743" t="s">
        <v>6</v>
      </c>
      <c r="G2743" s="19">
        <v>31</v>
      </c>
      <c r="H2743" t="s">
        <v>62</v>
      </c>
      <c r="I2743">
        <v>2023</v>
      </c>
    </row>
    <row r="2744" spans="1:9" x14ac:dyDescent="0.3">
      <c r="A2744">
        <v>135521927</v>
      </c>
      <c r="B2744" s="1">
        <v>45139</v>
      </c>
      <c r="C2744" s="1">
        <v>45171</v>
      </c>
      <c r="D2744" t="s">
        <v>7</v>
      </c>
      <c r="E2744">
        <v>39</v>
      </c>
      <c r="F2744" t="s">
        <v>6</v>
      </c>
      <c r="G2744" s="19">
        <v>32</v>
      </c>
      <c r="H2744" t="s">
        <v>62</v>
      </c>
      <c r="I2744">
        <v>2023</v>
      </c>
    </row>
    <row r="2745" spans="1:9" x14ac:dyDescent="0.3">
      <c r="A2745">
        <v>157035378</v>
      </c>
      <c r="B2745" s="1">
        <v>45139</v>
      </c>
      <c r="C2745" s="1">
        <v>45169</v>
      </c>
      <c r="D2745" t="s">
        <v>7</v>
      </c>
      <c r="E2745">
        <v>39</v>
      </c>
      <c r="F2745" t="s">
        <v>6</v>
      </c>
      <c r="G2745" s="19">
        <v>30</v>
      </c>
      <c r="H2745" t="s">
        <v>62</v>
      </c>
      <c r="I2745">
        <v>2023</v>
      </c>
    </row>
    <row r="2746" spans="1:9" x14ac:dyDescent="0.3">
      <c r="A2746">
        <v>219382434</v>
      </c>
      <c r="B2746" s="1">
        <v>45139</v>
      </c>
      <c r="C2746" s="1">
        <v>45169</v>
      </c>
      <c r="D2746" t="s">
        <v>7</v>
      </c>
      <c r="E2746">
        <v>39</v>
      </c>
      <c r="F2746" t="s">
        <v>6</v>
      </c>
      <c r="G2746" s="19">
        <v>30</v>
      </c>
      <c r="H2746" t="s">
        <v>62</v>
      </c>
      <c r="I2746">
        <v>2023</v>
      </c>
    </row>
    <row r="2747" spans="1:9" x14ac:dyDescent="0.3">
      <c r="A2747">
        <v>208762353</v>
      </c>
      <c r="B2747" s="1">
        <v>45140</v>
      </c>
      <c r="D2747" t="s">
        <v>7</v>
      </c>
      <c r="E2747">
        <v>39</v>
      </c>
      <c r="F2747" t="s">
        <v>6</v>
      </c>
      <c r="H2747" t="s">
        <v>63</v>
      </c>
      <c r="I2747">
        <v>2023</v>
      </c>
    </row>
    <row r="2748" spans="1:9" x14ac:dyDescent="0.3">
      <c r="A2748">
        <v>218346336</v>
      </c>
      <c r="B2748" s="1">
        <v>45140</v>
      </c>
      <c r="D2748" t="s">
        <v>7</v>
      </c>
      <c r="E2748">
        <v>39</v>
      </c>
      <c r="F2748" t="s">
        <v>6</v>
      </c>
      <c r="H2748" t="s">
        <v>63</v>
      </c>
      <c r="I2748">
        <v>2023</v>
      </c>
    </row>
    <row r="2749" spans="1:9" x14ac:dyDescent="0.3">
      <c r="A2749">
        <v>219226230</v>
      </c>
      <c r="B2749" s="1">
        <v>45140</v>
      </c>
      <c r="D2749" t="s">
        <v>7</v>
      </c>
      <c r="E2749">
        <v>39</v>
      </c>
      <c r="F2749" t="s">
        <v>6</v>
      </c>
      <c r="H2749" t="s">
        <v>63</v>
      </c>
      <c r="I2749">
        <v>2023</v>
      </c>
    </row>
    <row r="2750" spans="1:9" x14ac:dyDescent="0.3">
      <c r="A2750">
        <v>219369515</v>
      </c>
      <c r="B2750" s="1">
        <v>45140</v>
      </c>
      <c r="D2750" t="s">
        <v>7</v>
      </c>
      <c r="E2750">
        <v>39</v>
      </c>
      <c r="F2750" t="s">
        <v>6</v>
      </c>
      <c r="H2750" t="s">
        <v>63</v>
      </c>
      <c r="I2750">
        <v>2023</v>
      </c>
    </row>
    <row r="2751" spans="1:9" x14ac:dyDescent="0.3">
      <c r="A2751">
        <v>204947361</v>
      </c>
      <c r="B2751" s="1">
        <v>45140</v>
      </c>
      <c r="D2751" t="s">
        <v>7</v>
      </c>
      <c r="E2751">
        <v>39</v>
      </c>
      <c r="F2751" t="s">
        <v>6</v>
      </c>
      <c r="H2751" t="s">
        <v>63</v>
      </c>
      <c r="I2751">
        <v>2023</v>
      </c>
    </row>
    <row r="2752" spans="1:9" x14ac:dyDescent="0.3">
      <c r="A2752">
        <v>212977568</v>
      </c>
      <c r="B2752" s="1">
        <v>45140</v>
      </c>
      <c r="D2752" t="s">
        <v>7</v>
      </c>
      <c r="E2752">
        <v>39</v>
      </c>
      <c r="F2752" t="s">
        <v>6</v>
      </c>
      <c r="H2752" t="s">
        <v>63</v>
      </c>
      <c r="I2752">
        <v>2023</v>
      </c>
    </row>
    <row r="2753" spans="1:9" x14ac:dyDescent="0.3">
      <c r="A2753">
        <v>217981717</v>
      </c>
      <c r="B2753" s="1">
        <v>45140</v>
      </c>
      <c r="D2753" t="s">
        <v>7</v>
      </c>
      <c r="E2753">
        <v>39</v>
      </c>
      <c r="F2753" t="s">
        <v>6</v>
      </c>
      <c r="H2753" t="s">
        <v>63</v>
      </c>
      <c r="I2753">
        <v>2023</v>
      </c>
    </row>
    <row r="2754" spans="1:9" x14ac:dyDescent="0.3">
      <c r="A2754">
        <v>219459089</v>
      </c>
      <c r="B2754" s="1">
        <v>45140</v>
      </c>
      <c r="D2754" t="s">
        <v>7</v>
      </c>
      <c r="E2754">
        <v>39</v>
      </c>
      <c r="F2754" t="s">
        <v>6</v>
      </c>
      <c r="H2754" t="s">
        <v>63</v>
      </c>
      <c r="I2754">
        <v>2023</v>
      </c>
    </row>
    <row r="2755" spans="1:9" x14ac:dyDescent="0.3">
      <c r="A2755">
        <v>193483420</v>
      </c>
      <c r="B2755" s="1">
        <v>45140</v>
      </c>
      <c r="D2755" t="s">
        <v>7</v>
      </c>
      <c r="E2755">
        <v>39</v>
      </c>
      <c r="F2755" t="s">
        <v>6</v>
      </c>
      <c r="H2755" t="s">
        <v>63</v>
      </c>
      <c r="I2755">
        <v>2023</v>
      </c>
    </row>
    <row r="2756" spans="1:9" x14ac:dyDescent="0.3">
      <c r="A2756">
        <v>219496362</v>
      </c>
      <c r="B2756" s="1">
        <v>45140</v>
      </c>
      <c r="C2756" s="1">
        <v>45173</v>
      </c>
      <c r="D2756" t="s">
        <v>7</v>
      </c>
      <c r="E2756">
        <v>39</v>
      </c>
      <c r="F2756" t="s">
        <v>6</v>
      </c>
      <c r="G2756" s="19">
        <v>33</v>
      </c>
      <c r="H2756" t="s">
        <v>63</v>
      </c>
      <c r="I2756">
        <v>2023</v>
      </c>
    </row>
    <row r="2757" spans="1:9" x14ac:dyDescent="0.3">
      <c r="A2757">
        <v>219398902</v>
      </c>
      <c r="B2757" s="1">
        <v>45140</v>
      </c>
      <c r="C2757" s="1">
        <v>45174</v>
      </c>
      <c r="D2757" t="s">
        <v>7</v>
      </c>
      <c r="E2757">
        <v>39</v>
      </c>
      <c r="F2757" t="s">
        <v>6</v>
      </c>
      <c r="G2757" s="19">
        <v>34</v>
      </c>
      <c r="H2757" t="s">
        <v>63</v>
      </c>
      <c r="I2757">
        <v>2023</v>
      </c>
    </row>
    <row r="2758" spans="1:9" x14ac:dyDescent="0.3">
      <c r="A2758">
        <v>219497152</v>
      </c>
      <c r="B2758" s="1">
        <v>45140</v>
      </c>
      <c r="C2758" s="1">
        <v>45161</v>
      </c>
      <c r="D2758" t="s">
        <v>7</v>
      </c>
      <c r="E2758">
        <v>39</v>
      </c>
      <c r="F2758" t="s">
        <v>6</v>
      </c>
      <c r="G2758" s="19">
        <v>21</v>
      </c>
      <c r="H2758" t="s">
        <v>63</v>
      </c>
      <c r="I2758">
        <v>2023</v>
      </c>
    </row>
    <row r="2759" spans="1:9" x14ac:dyDescent="0.3">
      <c r="A2759">
        <v>188426619</v>
      </c>
      <c r="B2759" s="1">
        <v>45140</v>
      </c>
      <c r="C2759" s="1">
        <v>45170</v>
      </c>
      <c r="D2759" t="s">
        <v>7</v>
      </c>
      <c r="E2759">
        <v>39</v>
      </c>
      <c r="F2759" t="s">
        <v>6</v>
      </c>
      <c r="G2759" s="19">
        <v>30</v>
      </c>
      <c r="H2759" t="s">
        <v>63</v>
      </c>
      <c r="I2759">
        <v>2023</v>
      </c>
    </row>
    <row r="2760" spans="1:9" x14ac:dyDescent="0.3">
      <c r="A2760">
        <v>219470485</v>
      </c>
      <c r="B2760" s="1">
        <v>45140</v>
      </c>
      <c r="C2760" s="1">
        <v>45154</v>
      </c>
      <c r="D2760" t="s">
        <v>7</v>
      </c>
      <c r="E2760">
        <v>39</v>
      </c>
      <c r="F2760" t="s">
        <v>6</v>
      </c>
      <c r="G2760" s="19">
        <v>14</v>
      </c>
      <c r="H2760" t="s">
        <v>63</v>
      </c>
      <c r="I2760">
        <v>2023</v>
      </c>
    </row>
    <row r="2761" spans="1:9" x14ac:dyDescent="0.3">
      <c r="A2761">
        <v>219460783</v>
      </c>
      <c r="B2761" s="1">
        <v>45140</v>
      </c>
      <c r="C2761" s="1">
        <v>45166</v>
      </c>
      <c r="D2761" t="s">
        <v>7</v>
      </c>
      <c r="E2761">
        <v>39</v>
      </c>
      <c r="F2761" t="s">
        <v>6</v>
      </c>
      <c r="G2761" s="19">
        <v>26</v>
      </c>
      <c r="H2761" t="s">
        <v>63</v>
      </c>
      <c r="I2761">
        <v>2023</v>
      </c>
    </row>
    <row r="2762" spans="1:9" x14ac:dyDescent="0.3">
      <c r="A2762">
        <v>219512722</v>
      </c>
      <c r="B2762" s="1">
        <v>45141</v>
      </c>
      <c r="D2762" t="s">
        <v>7</v>
      </c>
      <c r="E2762">
        <v>39</v>
      </c>
      <c r="F2762" t="s">
        <v>6</v>
      </c>
      <c r="H2762" t="s">
        <v>64</v>
      </c>
      <c r="I2762">
        <v>2023</v>
      </c>
    </row>
    <row r="2763" spans="1:9" x14ac:dyDescent="0.3">
      <c r="A2763">
        <v>199393176</v>
      </c>
      <c r="B2763" s="1">
        <v>45141</v>
      </c>
      <c r="D2763" t="s">
        <v>7</v>
      </c>
      <c r="E2763">
        <v>39</v>
      </c>
      <c r="F2763" t="s">
        <v>6</v>
      </c>
      <c r="H2763" t="s">
        <v>64</v>
      </c>
      <c r="I2763">
        <v>2023</v>
      </c>
    </row>
    <row r="2764" spans="1:9" x14ac:dyDescent="0.3">
      <c r="A2764">
        <v>217368686</v>
      </c>
      <c r="B2764" s="1">
        <v>45141</v>
      </c>
      <c r="D2764" t="s">
        <v>7</v>
      </c>
      <c r="E2764">
        <v>39</v>
      </c>
      <c r="F2764" t="s">
        <v>6</v>
      </c>
      <c r="H2764" t="s">
        <v>64</v>
      </c>
      <c r="I2764">
        <v>2023</v>
      </c>
    </row>
    <row r="2765" spans="1:9" x14ac:dyDescent="0.3">
      <c r="A2765">
        <v>218247056</v>
      </c>
      <c r="B2765" s="1">
        <v>45141</v>
      </c>
      <c r="D2765" t="s">
        <v>7</v>
      </c>
      <c r="E2765">
        <v>39</v>
      </c>
      <c r="F2765" t="s">
        <v>6</v>
      </c>
      <c r="H2765" t="s">
        <v>64</v>
      </c>
      <c r="I2765">
        <v>2023</v>
      </c>
    </row>
    <row r="2766" spans="1:9" x14ac:dyDescent="0.3">
      <c r="A2766">
        <v>219439239</v>
      </c>
      <c r="B2766" s="1">
        <v>45141</v>
      </c>
      <c r="D2766" t="s">
        <v>7</v>
      </c>
      <c r="E2766">
        <v>39</v>
      </c>
      <c r="F2766" t="s">
        <v>6</v>
      </c>
      <c r="H2766" t="s">
        <v>64</v>
      </c>
      <c r="I2766">
        <v>2023</v>
      </c>
    </row>
    <row r="2767" spans="1:9" x14ac:dyDescent="0.3">
      <c r="A2767">
        <v>188206991</v>
      </c>
      <c r="B2767" s="1">
        <v>45141</v>
      </c>
      <c r="D2767" t="s">
        <v>7</v>
      </c>
      <c r="E2767">
        <v>39</v>
      </c>
      <c r="F2767" t="s">
        <v>6</v>
      </c>
      <c r="H2767" t="s">
        <v>64</v>
      </c>
      <c r="I2767">
        <v>2023</v>
      </c>
    </row>
    <row r="2768" spans="1:9" x14ac:dyDescent="0.3">
      <c r="A2768">
        <v>206470657</v>
      </c>
      <c r="B2768" s="1">
        <v>45141</v>
      </c>
      <c r="D2768" t="s">
        <v>7</v>
      </c>
      <c r="E2768">
        <v>39</v>
      </c>
      <c r="F2768" t="s">
        <v>6</v>
      </c>
      <c r="H2768" t="s">
        <v>64</v>
      </c>
      <c r="I2768">
        <v>2023</v>
      </c>
    </row>
    <row r="2769" spans="1:9" x14ac:dyDescent="0.3">
      <c r="A2769">
        <v>218706730</v>
      </c>
      <c r="B2769" s="1">
        <v>45141</v>
      </c>
      <c r="D2769" t="s">
        <v>7</v>
      </c>
      <c r="E2769">
        <v>39</v>
      </c>
      <c r="F2769" t="s">
        <v>6</v>
      </c>
      <c r="H2769" t="s">
        <v>64</v>
      </c>
      <c r="I2769">
        <v>2023</v>
      </c>
    </row>
    <row r="2770" spans="1:9" x14ac:dyDescent="0.3">
      <c r="A2770">
        <v>219512680</v>
      </c>
      <c r="B2770" s="1">
        <v>45141</v>
      </c>
      <c r="D2770" t="s">
        <v>7</v>
      </c>
      <c r="E2770">
        <v>39</v>
      </c>
      <c r="F2770" t="s">
        <v>6</v>
      </c>
      <c r="H2770" t="s">
        <v>64</v>
      </c>
      <c r="I2770">
        <v>2023</v>
      </c>
    </row>
    <row r="2771" spans="1:9" x14ac:dyDescent="0.3">
      <c r="A2771">
        <v>125335731</v>
      </c>
      <c r="B2771" s="1">
        <v>45141</v>
      </c>
      <c r="D2771" t="s">
        <v>7</v>
      </c>
      <c r="E2771">
        <v>39</v>
      </c>
      <c r="F2771" t="s">
        <v>6</v>
      </c>
      <c r="H2771" t="s">
        <v>64</v>
      </c>
      <c r="I2771">
        <v>2023</v>
      </c>
    </row>
    <row r="2772" spans="1:9" x14ac:dyDescent="0.3">
      <c r="A2772">
        <v>160598122</v>
      </c>
      <c r="B2772" s="1">
        <v>45141</v>
      </c>
      <c r="D2772" t="s">
        <v>7</v>
      </c>
      <c r="E2772">
        <v>39</v>
      </c>
      <c r="F2772" t="s">
        <v>6</v>
      </c>
      <c r="H2772" t="s">
        <v>64</v>
      </c>
      <c r="I2772">
        <v>2023</v>
      </c>
    </row>
    <row r="2773" spans="1:9" x14ac:dyDescent="0.3">
      <c r="A2773">
        <v>218414156</v>
      </c>
      <c r="B2773" s="1">
        <v>45141</v>
      </c>
      <c r="D2773" t="s">
        <v>7</v>
      </c>
      <c r="E2773">
        <v>39</v>
      </c>
      <c r="F2773" t="s">
        <v>6</v>
      </c>
      <c r="H2773" t="s">
        <v>64</v>
      </c>
      <c r="I2773">
        <v>2023</v>
      </c>
    </row>
    <row r="2774" spans="1:9" x14ac:dyDescent="0.3">
      <c r="A2774">
        <v>206455504</v>
      </c>
      <c r="B2774" s="1">
        <v>45141</v>
      </c>
      <c r="C2774" s="1">
        <v>45170</v>
      </c>
      <c r="D2774" t="s">
        <v>7</v>
      </c>
      <c r="E2774">
        <v>39</v>
      </c>
      <c r="F2774" t="s">
        <v>6</v>
      </c>
      <c r="G2774" s="19">
        <v>29</v>
      </c>
      <c r="H2774" t="s">
        <v>64</v>
      </c>
      <c r="I2774">
        <v>2023</v>
      </c>
    </row>
    <row r="2775" spans="1:9" x14ac:dyDescent="0.3">
      <c r="A2775">
        <v>202589094</v>
      </c>
      <c r="B2775" s="1">
        <v>45141</v>
      </c>
      <c r="C2775" s="1">
        <v>45172</v>
      </c>
      <c r="D2775" t="s">
        <v>7</v>
      </c>
      <c r="E2775">
        <v>39</v>
      </c>
      <c r="F2775" t="s">
        <v>6</v>
      </c>
      <c r="G2775" s="19">
        <v>31</v>
      </c>
      <c r="H2775" t="s">
        <v>64</v>
      </c>
      <c r="I2775">
        <v>2023</v>
      </c>
    </row>
    <row r="2776" spans="1:9" x14ac:dyDescent="0.3">
      <c r="A2776">
        <v>129747676</v>
      </c>
      <c r="B2776" s="1">
        <v>45141</v>
      </c>
      <c r="C2776" s="1">
        <v>45175</v>
      </c>
      <c r="D2776" t="s">
        <v>7</v>
      </c>
      <c r="E2776">
        <v>39</v>
      </c>
      <c r="F2776" t="s">
        <v>6</v>
      </c>
      <c r="G2776" s="19">
        <v>34</v>
      </c>
      <c r="H2776" t="s">
        <v>64</v>
      </c>
      <c r="I2776">
        <v>2023</v>
      </c>
    </row>
    <row r="2777" spans="1:9" x14ac:dyDescent="0.3">
      <c r="A2777">
        <v>219511614</v>
      </c>
      <c r="B2777" s="1">
        <v>45141</v>
      </c>
      <c r="C2777" s="1">
        <v>45170</v>
      </c>
      <c r="D2777" t="s">
        <v>7</v>
      </c>
      <c r="E2777">
        <v>39</v>
      </c>
      <c r="F2777" t="s">
        <v>6</v>
      </c>
      <c r="G2777" s="19">
        <v>29</v>
      </c>
      <c r="H2777" t="s">
        <v>64</v>
      </c>
      <c r="I2777">
        <v>2023</v>
      </c>
    </row>
    <row r="2778" spans="1:9" x14ac:dyDescent="0.3">
      <c r="A2778">
        <v>219491158</v>
      </c>
      <c r="B2778" s="1">
        <v>45142</v>
      </c>
      <c r="D2778" t="s">
        <v>7</v>
      </c>
      <c r="E2778">
        <v>39</v>
      </c>
      <c r="F2778" t="s">
        <v>6</v>
      </c>
      <c r="H2778" t="s">
        <v>65</v>
      </c>
      <c r="I2778">
        <v>2023</v>
      </c>
    </row>
    <row r="2779" spans="1:9" x14ac:dyDescent="0.3">
      <c r="A2779">
        <v>218790626</v>
      </c>
      <c r="B2779" s="1">
        <v>45142</v>
      </c>
      <c r="D2779" t="s">
        <v>7</v>
      </c>
      <c r="E2779">
        <v>39</v>
      </c>
      <c r="F2779" t="s">
        <v>6</v>
      </c>
      <c r="H2779" t="s">
        <v>65</v>
      </c>
      <c r="I2779">
        <v>2023</v>
      </c>
    </row>
    <row r="2780" spans="1:9" x14ac:dyDescent="0.3">
      <c r="A2780">
        <v>219476808</v>
      </c>
      <c r="B2780" s="1">
        <v>45142</v>
      </c>
      <c r="D2780" t="s">
        <v>7</v>
      </c>
      <c r="E2780">
        <v>39</v>
      </c>
      <c r="F2780" t="s">
        <v>6</v>
      </c>
      <c r="H2780" t="s">
        <v>65</v>
      </c>
      <c r="I2780">
        <v>2023</v>
      </c>
    </row>
    <row r="2781" spans="1:9" x14ac:dyDescent="0.3">
      <c r="A2781">
        <v>218585706</v>
      </c>
      <c r="B2781" s="1">
        <v>45142</v>
      </c>
      <c r="D2781" t="s">
        <v>7</v>
      </c>
      <c r="E2781">
        <v>39</v>
      </c>
      <c r="F2781" t="s">
        <v>6</v>
      </c>
      <c r="H2781" t="s">
        <v>65</v>
      </c>
      <c r="I2781">
        <v>2023</v>
      </c>
    </row>
    <row r="2782" spans="1:9" x14ac:dyDescent="0.3">
      <c r="A2782">
        <v>219316901</v>
      </c>
      <c r="B2782" s="1">
        <v>45142</v>
      </c>
      <c r="D2782" t="s">
        <v>7</v>
      </c>
      <c r="E2782">
        <v>39</v>
      </c>
      <c r="F2782" t="s">
        <v>6</v>
      </c>
      <c r="H2782" t="s">
        <v>65</v>
      </c>
      <c r="I2782">
        <v>2023</v>
      </c>
    </row>
    <row r="2783" spans="1:9" x14ac:dyDescent="0.3">
      <c r="A2783">
        <v>217724278</v>
      </c>
      <c r="B2783" s="1">
        <v>45142</v>
      </c>
      <c r="D2783" t="s">
        <v>7</v>
      </c>
      <c r="E2783">
        <v>39</v>
      </c>
      <c r="F2783" t="s">
        <v>6</v>
      </c>
      <c r="H2783" t="s">
        <v>65</v>
      </c>
      <c r="I2783">
        <v>2023</v>
      </c>
    </row>
    <row r="2784" spans="1:9" x14ac:dyDescent="0.3">
      <c r="A2784">
        <v>155869412</v>
      </c>
      <c r="B2784" s="1">
        <v>45142</v>
      </c>
      <c r="D2784" t="s">
        <v>7</v>
      </c>
      <c r="E2784">
        <v>39</v>
      </c>
      <c r="F2784" t="s">
        <v>6</v>
      </c>
      <c r="H2784" t="s">
        <v>65</v>
      </c>
      <c r="I2784">
        <v>2023</v>
      </c>
    </row>
    <row r="2785" spans="1:9" x14ac:dyDescent="0.3">
      <c r="A2785">
        <v>164535832</v>
      </c>
      <c r="B2785" s="1">
        <v>45142</v>
      </c>
      <c r="D2785" t="s">
        <v>7</v>
      </c>
      <c r="E2785">
        <v>39</v>
      </c>
      <c r="F2785" t="s">
        <v>6</v>
      </c>
      <c r="H2785" t="s">
        <v>65</v>
      </c>
      <c r="I2785">
        <v>2023</v>
      </c>
    </row>
    <row r="2786" spans="1:9" x14ac:dyDescent="0.3">
      <c r="A2786">
        <v>219388064</v>
      </c>
      <c r="B2786" s="1">
        <v>45142</v>
      </c>
      <c r="D2786" t="s">
        <v>7</v>
      </c>
      <c r="E2786">
        <v>39</v>
      </c>
      <c r="F2786" t="s">
        <v>6</v>
      </c>
      <c r="H2786" t="s">
        <v>65</v>
      </c>
      <c r="I2786">
        <v>2023</v>
      </c>
    </row>
    <row r="2787" spans="1:9" x14ac:dyDescent="0.3">
      <c r="A2787">
        <v>218884048</v>
      </c>
      <c r="B2787" s="1">
        <v>45142</v>
      </c>
      <c r="C2787" s="1">
        <v>45160</v>
      </c>
      <c r="D2787" t="s">
        <v>7</v>
      </c>
      <c r="E2787">
        <v>39</v>
      </c>
      <c r="F2787" t="s">
        <v>6</v>
      </c>
      <c r="G2787" s="19">
        <v>18</v>
      </c>
      <c r="H2787" t="s">
        <v>65</v>
      </c>
      <c r="I2787">
        <v>2023</v>
      </c>
    </row>
    <row r="2788" spans="1:9" x14ac:dyDescent="0.3">
      <c r="A2788">
        <v>219603078</v>
      </c>
      <c r="B2788" s="1">
        <v>45143</v>
      </c>
      <c r="D2788" t="s">
        <v>7</v>
      </c>
      <c r="E2788">
        <v>39</v>
      </c>
      <c r="F2788" t="s">
        <v>6</v>
      </c>
      <c r="H2788" t="s">
        <v>66</v>
      </c>
      <c r="I2788">
        <v>2023</v>
      </c>
    </row>
    <row r="2789" spans="1:9" x14ac:dyDescent="0.3">
      <c r="A2789">
        <v>219146842</v>
      </c>
      <c r="B2789" s="1">
        <v>45143</v>
      </c>
      <c r="D2789" t="s">
        <v>7</v>
      </c>
      <c r="E2789">
        <v>39</v>
      </c>
      <c r="F2789" t="s">
        <v>6</v>
      </c>
      <c r="H2789" t="s">
        <v>66</v>
      </c>
      <c r="I2789">
        <v>2023</v>
      </c>
    </row>
    <row r="2790" spans="1:9" x14ac:dyDescent="0.3">
      <c r="A2790">
        <v>206676416</v>
      </c>
      <c r="B2790" s="1">
        <v>45143</v>
      </c>
      <c r="D2790" t="s">
        <v>7</v>
      </c>
      <c r="E2790">
        <v>39</v>
      </c>
      <c r="F2790" t="s">
        <v>6</v>
      </c>
      <c r="H2790" t="s">
        <v>66</v>
      </c>
      <c r="I2790">
        <v>2023</v>
      </c>
    </row>
    <row r="2791" spans="1:9" x14ac:dyDescent="0.3">
      <c r="A2791">
        <v>219615770</v>
      </c>
      <c r="B2791" s="1">
        <v>45143</v>
      </c>
      <c r="D2791" t="s">
        <v>7</v>
      </c>
      <c r="E2791">
        <v>39</v>
      </c>
      <c r="F2791" t="s">
        <v>6</v>
      </c>
      <c r="H2791" t="s">
        <v>66</v>
      </c>
      <c r="I2791">
        <v>2023</v>
      </c>
    </row>
    <row r="2792" spans="1:9" x14ac:dyDescent="0.3">
      <c r="A2792">
        <v>219630379</v>
      </c>
      <c r="B2792" s="1">
        <v>45144</v>
      </c>
      <c r="D2792" t="s">
        <v>7</v>
      </c>
      <c r="E2792">
        <v>39</v>
      </c>
      <c r="F2792" t="s">
        <v>6</v>
      </c>
      <c r="H2792" t="s">
        <v>60</v>
      </c>
      <c r="I2792">
        <v>2023</v>
      </c>
    </row>
    <row r="2793" spans="1:9" x14ac:dyDescent="0.3">
      <c r="A2793">
        <v>145096572</v>
      </c>
      <c r="B2793" s="1">
        <v>45144</v>
      </c>
      <c r="D2793" t="s">
        <v>7</v>
      </c>
      <c r="E2793">
        <v>39</v>
      </c>
      <c r="F2793" t="s">
        <v>6</v>
      </c>
      <c r="H2793" t="s">
        <v>60</v>
      </c>
      <c r="I2793">
        <v>2023</v>
      </c>
    </row>
    <row r="2794" spans="1:9" x14ac:dyDescent="0.3">
      <c r="A2794">
        <v>144005898</v>
      </c>
      <c r="B2794" s="1">
        <v>45144</v>
      </c>
      <c r="D2794" t="s">
        <v>7</v>
      </c>
      <c r="E2794">
        <v>39</v>
      </c>
      <c r="F2794" t="s">
        <v>6</v>
      </c>
      <c r="H2794" t="s">
        <v>60</v>
      </c>
      <c r="I2794">
        <v>2023</v>
      </c>
    </row>
    <row r="2795" spans="1:9" x14ac:dyDescent="0.3">
      <c r="A2795">
        <v>215189020</v>
      </c>
      <c r="B2795" s="1">
        <v>45144</v>
      </c>
      <c r="D2795" t="s">
        <v>7</v>
      </c>
      <c r="E2795">
        <v>39</v>
      </c>
      <c r="F2795" t="s">
        <v>6</v>
      </c>
      <c r="H2795" t="s">
        <v>60</v>
      </c>
      <c r="I2795">
        <v>2023</v>
      </c>
    </row>
    <row r="2796" spans="1:9" x14ac:dyDescent="0.3">
      <c r="A2796">
        <v>188354637</v>
      </c>
      <c r="B2796" s="1">
        <v>45144</v>
      </c>
      <c r="C2796" s="1">
        <v>45158</v>
      </c>
      <c r="D2796" t="s">
        <v>7</v>
      </c>
      <c r="E2796">
        <v>39</v>
      </c>
      <c r="F2796" t="s">
        <v>6</v>
      </c>
      <c r="G2796" s="19">
        <v>14</v>
      </c>
      <c r="H2796" t="s">
        <v>60</v>
      </c>
      <c r="I2796">
        <v>2023</v>
      </c>
    </row>
    <row r="2797" spans="1:9" x14ac:dyDescent="0.3">
      <c r="A2797">
        <v>219668475</v>
      </c>
      <c r="B2797" s="1">
        <v>45145</v>
      </c>
      <c r="D2797" t="s">
        <v>7</v>
      </c>
      <c r="E2797">
        <v>39</v>
      </c>
      <c r="F2797" t="s">
        <v>6</v>
      </c>
      <c r="H2797" t="s">
        <v>61</v>
      </c>
      <c r="I2797">
        <v>2023</v>
      </c>
    </row>
    <row r="2798" spans="1:9" x14ac:dyDescent="0.3">
      <c r="A2798">
        <v>219495361</v>
      </c>
      <c r="B2798" s="1">
        <v>45145</v>
      </c>
      <c r="D2798" t="s">
        <v>7</v>
      </c>
      <c r="E2798">
        <v>39</v>
      </c>
      <c r="F2798" t="s">
        <v>6</v>
      </c>
      <c r="H2798" t="s">
        <v>61</v>
      </c>
      <c r="I2798">
        <v>2023</v>
      </c>
    </row>
    <row r="2799" spans="1:9" x14ac:dyDescent="0.3">
      <c r="A2799">
        <v>219672587</v>
      </c>
      <c r="B2799" s="1">
        <v>45145</v>
      </c>
      <c r="D2799" t="s">
        <v>7</v>
      </c>
      <c r="E2799">
        <v>39</v>
      </c>
      <c r="F2799" t="s">
        <v>6</v>
      </c>
      <c r="H2799" t="s">
        <v>61</v>
      </c>
      <c r="I2799">
        <v>2023</v>
      </c>
    </row>
    <row r="2800" spans="1:9" x14ac:dyDescent="0.3">
      <c r="A2800">
        <v>218556897</v>
      </c>
      <c r="B2800" s="1">
        <v>45145</v>
      </c>
      <c r="C2800" s="1">
        <v>45146</v>
      </c>
      <c r="D2800" t="s">
        <v>7</v>
      </c>
      <c r="E2800">
        <v>39</v>
      </c>
      <c r="F2800" t="s">
        <v>6</v>
      </c>
      <c r="G2800" s="19">
        <v>1</v>
      </c>
      <c r="H2800" t="s">
        <v>61</v>
      </c>
      <c r="I2800">
        <v>2023</v>
      </c>
    </row>
    <row r="2801" spans="1:9" x14ac:dyDescent="0.3">
      <c r="A2801">
        <v>219467082</v>
      </c>
      <c r="B2801" s="1">
        <v>45145</v>
      </c>
      <c r="C2801" s="1">
        <v>45153</v>
      </c>
      <c r="D2801" t="s">
        <v>7</v>
      </c>
      <c r="E2801">
        <v>39</v>
      </c>
      <c r="F2801" t="s">
        <v>6</v>
      </c>
      <c r="G2801" s="19">
        <v>8</v>
      </c>
      <c r="H2801" t="s">
        <v>61</v>
      </c>
      <c r="I2801">
        <v>2023</v>
      </c>
    </row>
    <row r="2802" spans="1:9" x14ac:dyDescent="0.3">
      <c r="A2802">
        <v>139353407</v>
      </c>
      <c r="B2802" s="1">
        <v>45146</v>
      </c>
      <c r="D2802" t="s">
        <v>7</v>
      </c>
      <c r="E2802">
        <v>39</v>
      </c>
      <c r="F2802" t="s">
        <v>6</v>
      </c>
      <c r="H2802" t="s">
        <v>62</v>
      </c>
      <c r="I2802">
        <v>2023</v>
      </c>
    </row>
    <row r="2803" spans="1:9" x14ac:dyDescent="0.3">
      <c r="A2803">
        <v>219734945</v>
      </c>
      <c r="B2803" s="1">
        <v>45146</v>
      </c>
      <c r="D2803" t="s">
        <v>7</v>
      </c>
      <c r="E2803">
        <v>39</v>
      </c>
      <c r="F2803" t="s">
        <v>6</v>
      </c>
      <c r="H2803" t="s">
        <v>62</v>
      </c>
      <c r="I2803">
        <v>2023</v>
      </c>
    </row>
    <row r="2804" spans="1:9" x14ac:dyDescent="0.3">
      <c r="A2804">
        <v>219735949</v>
      </c>
      <c r="B2804" s="1">
        <v>45146</v>
      </c>
      <c r="D2804" t="s">
        <v>7</v>
      </c>
      <c r="E2804">
        <v>39</v>
      </c>
      <c r="F2804" t="s">
        <v>6</v>
      </c>
      <c r="H2804" t="s">
        <v>62</v>
      </c>
      <c r="I2804">
        <v>2023</v>
      </c>
    </row>
    <row r="2805" spans="1:9" x14ac:dyDescent="0.3">
      <c r="A2805">
        <v>219688361</v>
      </c>
      <c r="B2805" s="1">
        <v>45146</v>
      </c>
      <c r="D2805" t="s">
        <v>7</v>
      </c>
      <c r="E2805">
        <v>39</v>
      </c>
      <c r="F2805" t="s">
        <v>6</v>
      </c>
      <c r="H2805" t="s">
        <v>62</v>
      </c>
      <c r="I2805">
        <v>2023</v>
      </c>
    </row>
    <row r="2806" spans="1:9" x14ac:dyDescent="0.3">
      <c r="A2806">
        <v>219447968</v>
      </c>
      <c r="B2806" s="1">
        <v>45146</v>
      </c>
      <c r="D2806" t="s">
        <v>7</v>
      </c>
      <c r="E2806">
        <v>39</v>
      </c>
      <c r="F2806" t="s">
        <v>6</v>
      </c>
      <c r="H2806" t="s">
        <v>62</v>
      </c>
      <c r="I2806">
        <v>2023</v>
      </c>
    </row>
    <row r="2807" spans="1:9" x14ac:dyDescent="0.3">
      <c r="A2807">
        <v>219583682</v>
      </c>
      <c r="B2807" s="1">
        <v>45146</v>
      </c>
      <c r="D2807" t="s">
        <v>7</v>
      </c>
      <c r="E2807">
        <v>39</v>
      </c>
      <c r="F2807" t="s">
        <v>6</v>
      </c>
      <c r="H2807" t="s">
        <v>62</v>
      </c>
      <c r="I2807">
        <v>2023</v>
      </c>
    </row>
    <row r="2808" spans="1:9" x14ac:dyDescent="0.3">
      <c r="A2808">
        <v>217638566</v>
      </c>
      <c r="B2808" s="1">
        <v>45146</v>
      </c>
      <c r="D2808" t="s">
        <v>7</v>
      </c>
      <c r="E2808">
        <v>39</v>
      </c>
      <c r="F2808" t="s">
        <v>6</v>
      </c>
      <c r="H2808" t="s">
        <v>62</v>
      </c>
      <c r="I2808">
        <v>2023</v>
      </c>
    </row>
    <row r="2809" spans="1:9" x14ac:dyDescent="0.3">
      <c r="A2809">
        <v>219716268</v>
      </c>
      <c r="B2809" s="1">
        <v>45146</v>
      </c>
      <c r="D2809" t="s">
        <v>7</v>
      </c>
      <c r="E2809">
        <v>39</v>
      </c>
      <c r="F2809" t="s">
        <v>6</v>
      </c>
      <c r="H2809" t="s">
        <v>62</v>
      </c>
      <c r="I2809">
        <v>2023</v>
      </c>
    </row>
    <row r="2810" spans="1:9" x14ac:dyDescent="0.3">
      <c r="A2810">
        <v>219713718</v>
      </c>
      <c r="B2810" s="1">
        <v>45146</v>
      </c>
      <c r="D2810" t="s">
        <v>7</v>
      </c>
      <c r="E2810">
        <v>39</v>
      </c>
      <c r="F2810" t="s">
        <v>6</v>
      </c>
      <c r="H2810" t="s">
        <v>62</v>
      </c>
      <c r="I2810">
        <v>2023</v>
      </c>
    </row>
    <row r="2811" spans="1:9" x14ac:dyDescent="0.3">
      <c r="A2811">
        <v>219707178</v>
      </c>
      <c r="B2811" s="1">
        <v>45146</v>
      </c>
      <c r="D2811" t="s">
        <v>7</v>
      </c>
      <c r="E2811">
        <v>39</v>
      </c>
      <c r="F2811" t="s">
        <v>6</v>
      </c>
      <c r="H2811" t="s">
        <v>62</v>
      </c>
      <c r="I2811">
        <v>2023</v>
      </c>
    </row>
    <row r="2812" spans="1:9" x14ac:dyDescent="0.3">
      <c r="A2812">
        <v>219747148</v>
      </c>
      <c r="B2812" s="1">
        <v>45146</v>
      </c>
      <c r="C2812" s="1">
        <v>45146</v>
      </c>
      <c r="D2812" t="s">
        <v>7</v>
      </c>
      <c r="E2812">
        <v>39</v>
      </c>
      <c r="F2812" t="s">
        <v>6</v>
      </c>
      <c r="G2812" s="19">
        <v>0</v>
      </c>
      <c r="H2812" t="s">
        <v>62</v>
      </c>
      <c r="I2812">
        <v>2023</v>
      </c>
    </row>
    <row r="2813" spans="1:9" x14ac:dyDescent="0.3">
      <c r="A2813">
        <v>219710700</v>
      </c>
      <c r="B2813" s="1">
        <v>45146</v>
      </c>
      <c r="C2813" s="1">
        <v>45155</v>
      </c>
      <c r="D2813" t="s">
        <v>7</v>
      </c>
      <c r="E2813">
        <v>39</v>
      </c>
      <c r="F2813" t="s">
        <v>6</v>
      </c>
      <c r="G2813" s="19">
        <v>9</v>
      </c>
      <c r="H2813" t="s">
        <v>62</v>
      </c>
      <c r="I2813">
        <v>2023</v>
      </c>
    </row>
    <row r="2814" spans="1:9" x14ac:dyDescent="0.3">
      <c r="A2814">
        <v>160883429</v>
      </c>
      <c r="B2814" s="1">
        <v>45147</v>
      </c>
      <c r="D2814" t="s">
        <v>7</v>
      </c>
      <c r="E2814">
        <v>39</v>
      </c>
      <c r="F2814" t="s">
        <v>6</v>
      </c>
      <c r="H2814" t="s">
        <v>63</v>
      </c>
      <c r="I2814">
        <v>2023</v>
      </c>
    </row>
    <row r="2815" spans="1:9" x14ac:dyDescent="0.3">
      <c r="A2815">
        <v>218556897</v>
      </c>
      <c r="B2815" s="1">
        <v>45147</v>
      </c>
      <c r="D2815" t="s">
        <v>7</v>
      </c>
      <c r="E2815">
        <v>39</v>
      </c>
      <c r="F2815" t="s">
        <v>6</v>
      </c>
      <c r="H2815" t="s">
        <v>63</v>
      </c>
      <c r="I2815">
        <v>2023</v>
      </c>
    </row>
    <row r="2816" spans="1:9" x14ac:dyDescent="0.3">
      <c r="A2816">
        <v>219779586</v>
      </c>
      <c r="B2816" s="1">
        <v>45147</v>
      </c>
      <c r="D2816" t="s">
        <v>7</v>
      </c>
      <c r="E2816">
        <v>39</v>
      </c>
      <c r="F2816" t="s">
        <v>6</v>
      </c>
      <c r="H2816" t="s">
        <v>63</v>
      </c>
      <c r="I2816">
        <v>2023</v>
      </c>
    </row>
    <row r="2817" spans="1:9" x14ac:dyDescent="0.3">
      <c r="A2817">
        <v>219437804</v>
      </c>
      <c r="B2817" s="1">
        <v>45147</v>
      </c>
      <c r="D2817" t="s">
        <v>7</v>
      </c>
      <c r="E2817">
        <v>39</v>
      </c>
      <c r="F2817" t="s">
        <v>6</v>
      </c>
      <c r="H2817" t="s">
        <v>63</v>
      </c>
      <c r="I2817">
        <v>2023</v>
      </c>
    </row>
    <row r="2818" spans="1:9" x14ac:dyDescent="0.3">
      <c r="A2818">
        <v>206402783</v>
      </c>
      <c r="B2818" s="1">
        <v>45147</v>
      </c>
      <c r="D2818" t="s">
        <v>7</v>
      </c>
      <c r="E2818">
        <v>39</v>
      </c>
      <c r="F2818" t="s">
        <v>6</v>
      </c>
      <c r="H2818" t="s">
        <v>63</v>
      </c>
      <c r="I2818">
        <v>2023</v>
      </c>
    </row>
    <row r="2819" spans="1:9" x14ac:dyDescent="0.3">
      <c r="A2819">
        <v>178419414</v>
      </c>
      <c r="B2819" s="1">
        <v>45147</v>
      </c>
      <c r="D2819" t="s">
        <v>7</v>
      </c>
      <c r="E2819">
        <v>39</v>
      </c>
      <c r="F2819" t="s">
        <v>6</v>
      </c>
      <c r="H2819" t="s">
        <v>63</v>
      </c>
      <c r="I2819">
        <v>2023</v>
      </c>
    </row>
    <row r="2820" spans="1:9" x14ac:dyDescent="0.3">
      <c r="A2820">
        <v>219719416</v>
      </c>
      <c r="B2820" s="1">
        <v>45147</v>
      </c>
      <c r="D2820" t="s">
        <v>7</v>
      </c>
      <c r="E2820">
        <v>39</v>
      </c>
      <c r="F2820" t="s">
        <v>6</v>
      </c>
      <c r="H2820" t="s">
        <v>63</v>
      </c>
      <c r="I2820">
        <v>2023</v>
      </c>
    </row>
    <row r="2821" spans="1:9" x14ac:dyDescent="0.3">
      <c r="A2821">
        <v>156558244</v>
      </c>
      <c r="B2821" s="1">
        <v>45147</v>
      </c>
      <c r="D2821" t="s">
        <v>7</v>
      </c>
      <c r="E2821">
        <v>39</v>
      </c>
      <c r="F2821" t="s">
        <v>6</v>
      </c>
      <c r="H2821" t="s">
        <v>63</v>
      </c>
      <c r="I2821">
        <v>2023</v>
      </c>
    </row>
    <row r="2822" spans="1:9" x14ac:dyDescent="0.3">
      <c r="A2822">
        <v>215602271</v>
      </c>
      <c r="B2822" s="1">
        <v>45147</v>
      </c>
      <c r="C2822" s="1">
        <v>45153</v>
      </c>
      <c r="D2822" t="s">
        <v>7</v>
      </c>
      <c r="E2822">
        <v>39</v>
      </c>
      <c r="F2822" t="s">
        <v>6</v>
      </c>
      <c r="G2822" s="19">
        <v>6</v>
      </c>
      <c r="H2822" t="s">
        <v>63</v>
      </c>
      <c r="I2822">
        <v>2023</v>
      </c>
    </row>
    <row r="2823" spans="1:9" x14ac:dyDescent="0.3">
      <c r="A2823">
        <v>219761422</v>
      </c>
      <c r="B2823" s="1">
        <v>45147</v>
      </c>
      <c r="C2823" s="1">
        <v>45152</v>
      </c>
      <c r="D2823" t="s">
        <v>7</v>
      </c>
      <c r="E2823">
        <v>39</v>
      </c>
      <c r="F2823" t="s">
        <v>6</v>
      </c>
      <c r="G2823" s="19">
        <v>5</v>
      </c>
      <c r="H2823" t="s">
        <v>63</v>
      </c>
      <c r="I2823">
        <v>2023</v>
      </c>
    </row>
    <row r="2824" spans="1:9" x14ac:dyDescent="0.3">
      <c r="A2824">
        <v>218594597</v>
      </c>
      <c r="B2824" s="1">
        <v>45147</v>
      </c>
      <c r="C2824" s="1">
        <v>45147</v>
      </c>
      <c r="D2824" t="s">
        <v>8</v>
      </c>
      <c r="E2824">
        <v>39</v>
      </c>
      <c r="F2824" t="s">
        <v>6</v>
      </c>
      <c r="G2824" s="19">
        <v>0</v>
      </c>
      <c r="H2824" t="s">
        <v>63</v>
      </c>
      <c r="I2824">
        <v>2023</v>
      </c>
    </row>
    <row r="2825" spans="1:9" x14ac:dyDescent="0.3">
      <c r="A2825">
        <v>219734107</v>
      </c>
      <c r="B2825" s="1">
        <v>45148</v>
      </c>
      <c r="D2825" t="s">
        <v>7</v>
      </c>
      <c r="E2825">
        <v>39</v>
      </c>
      <c r="F2825" t="s">
        <v>6</v>
      </c>
      <c r="H2825" t="s">
        <v>64</v>
      </c>
      <c r="I2825">
        <v>2023</v>
      </c>
    </row>
    <row r="2826" spans="1:9" x14ac:dyDescent="0.3">
      <c r="A2826">
        <v>219836911</v>
      </c>
      <c r="B2826" s="1">
        <v>45148</v>
      </c>
      <c r="D2826" t="s">
        <v>7</v>
      </c>
      <c r="E2826">
        <v>39</v>
      </c>
      <c r="F2826" t="s">
        <v>6</v>
      </c>
      <c r="H2826" t="s">
        <v>64</v>
      </c>
      <c r="I2826">
        <v>2023</v>
      </c>
    </row>
    <row r="2827" spans="1:9" x14ac:dyDescent="0.3">
      <c r="A2827">
        <v>215179190</v>
      </c>
      <c r="B2827" s="1">
        <v>45148</v>
      </c>
      <c r="D2827" t="s">
        <v>7</v>
      </c>
      <c r="E2827">
        <v>39</v>
      </c>
      <c r="F2827" t="s">
        <v>6</v>
      </c>
      <c r="H2827" t="s">
        <v>64</v>
      </c>
      <c r="I2827">
        <v>2023</v>
      </c>
    </row>
    <row r="2828" spans="1:9" x14ac:dyDescent="0.3">
      <c r="A2828">
        <v>219817702</v>
      </c>
      <c r="B2828" s="1">
        <v>45148</v>
      </c>
      <c r="D2828" t="s">
        <v>7</v>
      </c>
      <c r="E2828">
        <v>39</v>
      </c>
      <c r="F2828" t="s">
        <v>6</v>
      </c>
      <c r="H2828" t="s">
        <v>64</v>
      </c>
      <c r="I2828">
        <v>2023</v>
      </c>
    </row>
    <row r="2829" spans="1:9" x14ac:dyDescent="0.3">
      <c r="A2829">
        <v>150065982</v>
      </c>
      <c r="B2829" s="1">
        <v>45148</v>
      </c>
      <c r="C2829" s="1">
        <v>45149</v>
      </c>
      <c r="D2829" t="s">
        <v>7</v>
      </c>
      <c r="E2829">
        <v>39</v>
      </c>
      <c r="F2829" t="s">
        <v>6</v>
      </c>
      <c r="G2829" s="19">
        <v>1</v>
      </c>
      <c r="H2829" t="s">
        <v>64</v>
      </c>
      <c r="I2829">
        <v>2023</v>
      </c>
    </row>
    <row r="2830" spans="1:9" x14ac:dyDescent="0.3">
      <c r="A2830">
        <v>219891350</v>
      </c>
      <c r="B2830" s="1">
        <v>45149</v>
      </c>
      <c r="D2830" t="s">
        <v>7</v>
      </c>
      <c r="E2830">
        <v>39</v>
      </c>
      <c r="F2830" t="s">
        <v>6</v>
      </c>
      <c r="H2830" t="s">
        <v>65</v>
      </c>
      <c r="I2830">
        <v>2023</v>
      </c>
    </row>
    <row r="2831" spans="1:9" x14ac:dyDescent="0.3">
      <c r="A2831">
        <v>205210815</v>
      </c>
      <c r="B2831" s="1">
        <v>45149</v>
      </c>
      <c r="D2831" t="s">
        <v>7</v>
      </c>
      <c r="E2831">
        <v>39</v>
      </c>
      <c r="F2831" t="s">
        <v>6</v>
      </c>
      <c r="H2831" t="s">
        <v>65</v>
      </c>
      <c r="I2831">
        <v>2023</v>
      </c>
    </row>
    <row r="2832" spans="1:9" x14ac:dyDescent="0.3">
      <c r="A2832">
        <v>219744473</v>
      </c>
      <c r="B2832" s="1">
        <v>45149</v>
      </c>
      <c r="D2832" t="s">
        <v>7</v>
      </c>
      <c r="E2832">
        <v>39</v>
      </c>
      <c r="F2832" t="s">
        <v>6</v>
      </c>
      <c r="H2832" t="s">
        <v>65</v>
      </c>
      <c r="I2832">
        <v>2023</v>
      </c>
    </row>
    <row r="2833" spans="1:9" x14ac:dyDescent="0.3">
      <c r="A2833">
        <v>219851822</v>
      </c>
      <c r="B2833" s="1">
        <v>45149</v>
      </c>
      <c r="D2833" t="s">
        <v>7</v>
      </c>
      <c r="E2833">
        <v>39</v>
      </c>
      <c r="F2833" t="s">
        <v>6</v>
      </c>
      <c r="H2833" t="s">
        <v>65</v>
      </c>
      <c r="I2833">
        <v>2023</v>
      </c>
    </row>
    <row r="2834" spans="1:9" x14ac:dyDescent="0.3">
      <c r="A2834">
        <v>150779000</v>
      </c>
      <c r="B2834" s="1">
        <v>45149</v>
      </c>
      <c r="C2834" s="1">
        <v>45175</v>
      </c>
      <c r="D2834" t="s">
        <v>7</v>
      </c>
      <c r="E2834">
        <v>39</v>
      </c>
      <c r="F2834" t="s">
        <v>6</v>
      </c>
      <c r="G2834" s="19">
        <v>26</v>
      </c>
      <c r="H2834" t="s">
        <v>65</v>
      </c>
      <c r="I2834">
        <v>2023</v>
      </c>
    </row>
    <row r="2835" spans="1:9" x14ac:dyDescent="0.3">
      <c r="A2835">
        <v>219876215</v>
      </c>
      <c r="B2835" s="1">
        <v>45149</v>
      </c>
      <c r="C2835" s="1">
        <v>45150</v>
      </c>
      <c r="D2835" t="s">
        <v>7</v>
      </c>
      <c r="E2835">
        <v>39</v>
      </c>
      <c r="F2835" t="s">
        <v>6</v>
      </c>
      <c r="G2835" s="19">
        <v>1</v>
      </c>
      <c r="H2835" t="s">
        <v>65</v>
      </c>
      <c r="I2835">
        <v>2023</v>
      </c>
    </row>
    <row r="2836" spans="1:9" x14ac:dyDescent="0.3">
      <c r="A2836">
        <v>151633468</v>
      </c>
      <c r="B2836" s="1">
        <v>45149</v>
      </c>
      <c r="C2836" s="1">
        <v>45150</v>
      </c>
      <c r="D2836" t="s">
        <v>7</v>
      </c>
      <c r="E2836">
        <v>39</v>
      </c>
      <c r="F2836" t="s">
        <v>6</v>
      </c>
      <c r="G2836" s="19">
        <v>1</v>
      </c>
      <c r="H2836" t="s">
        <v>65</v>
      </c>
      <c r="I2836">
        <v>2023</v>
      </c>
    </row>
    <row r="2837" spans="1:9" x14ac:dyDescent="0.3">
      <c r="A2837">
        <v>219834528</v>
      </c>
      <c r="B2837" s="1">
        <v>45149</v>
      </c>
      <c r="C2837" s="1">
        <v>45150</v>
      </c>
      <c r="D2837" t="s">
        <v>8</v>
      </c>
      <c r="E2837">
        <v>39</v>
      </c>
      <c r="F2837" t="s">
        <v>6</v>
      </c>
      <c r="G2837" s="19">
        <v>1</v>
      </c>
      <c r="H2837" t="s">
        <v>65</v>
      </c>
      <c r="I2837">
        <v>2023</v>
      </c>
    </row>
    <row r="2838" spans="1:9" x14ac:dyDescent="0.3">
      <c r="A2838">
        <v>202844600</v>
      </c>
      <c r="B2838" s="1">
        <v>45149</v>
      </c>
      <c r="C2838" s="1">
        <v>45150</v>
      </c>
      <c r="D2838" t="s">
        <v>8</v>
      </c>
      <c r="E2838">
        <v>39</v>
      </c>
      <c r="F2838" t="s">
        <v>6</v>
      </c>
      <c r="G2838" s="19">
        <v>1</v>
      </c>
      <c r="H2838" t="s">
        <v>65</v>
      </c>
      <c r="I2838">
        <v>2023</v>
      </c>
    </row>
    <row r="2839" spans="1:9" x14ac:dyDescent="0.3">
      <c r="A2839">
        <v>158093021</v>
      </c>
      <c r="B2839" s="1">
        <v>45150</v>
      </c>
      <c r="D2839" t="s">
        <v>7</v>
      </c>
      <c r="E2839">
        <v>39</v>
      </c>
      <c r="F2839" t="s">
        <v>6</v>
      </c>
      <c r="H2839" t="s">
        <v>66</v>
      </c>
      <c r="I2839">
        <v>2023</v>
      </c>
    </row>
    <row r="2840" spans="1:9" x14ac:dyDescent="0.3">
      <c r="A2840">
        <v>203366396</v>
      </c>
      <c r="B2840" s="1">
        <v>45150</v>
      </c>
      <c r="C2840" s="1">
        <v>45154</v>
      </c>
      <c r="D2840" t="s">
        <v>7</v>
      </c>
      <c r="E2840">
        <v>39</v>
      </c>
      <c r="F2840" t="s">
        <v>6</v>
      </c>
      <c r="G2840" s="19">
        <v>4</v>
      </c>
      <c r="H2840" t="s">
        <v>66</v>
      </c>
      <c r="I2840">
        <v>2023</v>
      </c>
    </row>
    <row r="2841" spans="1:9" x14ac:dyDescent="0.3">
      <c r="A2841">
        <v>210694562</v>
      </c>
      <c r="B2841" s="1">
        <v>45150</v>
      </c>
      <c r="C2841" s="1">
        <v>45171</v>
      </c>
      <c r="D2841" t="s">
        <v>7</v>
      </c>
      <c r="E2841">
        <v>39</v>
      </c>
      <c r="F2841" t="s">
        <v>6</v>
      </c>
      <c r="G2841" s="19">
        <v>21</v>
      </c>
      <c r="H2841" t="s">
        <v>66</v>
      </c>
      <c r="I2841">
        <v>2023</v>
      </c>
    </row>
    <row r="2842" spans="1:9" x14ac:dyDescent="0.3">
      <c r="A2842">
        <v>188347490</v>
      </c>
      <c r="B2842" s="1">
        <v>45151</v>
      </c>
      <c r="D2842" t="s">
        <v>7</v>
      </c>
      <c r="E2842">
        <v>39</v>
      </c>
      <c r="F2842" t="s">
        <v>6</v>
      </c>
      <c r="H2842" t="s">
        <v>60</v>
      </c>
      <c r="I2842">
        <v>2023</v>
      </c>
    </row>
    <row r="2843" spans="1:9" x14ac:dyDescent="0.3">
      <c r="A2843">
        <v>219947831</v>
      </c>
      <c r="B2843" s="1">
        <v>45151</v>
      </c>
      <c r="D2843" t="s">
        <v>7</v>
      </c>
      <c r="E2843">
        <v>39</v>
      </c>
      <c r="F2843" t="s">
        <v>6</v>
      </c>
      <c r="H2843" t="s">
        <v>60</v>
      </c>
      <c r="I2843">
        <v>2023</v>
      </c>
    </row>
    <row r="2844" spans="1:9" x14ac:dyDescent="0.3">
      <c r="A2844">
        <v>214775412</v>
      </c>
      <c r="B2844" s="1">
        <v>45151</v>
      </c>
      <c r="D2844" t="s">
        <v>7</v>
      </c>
      <c r="E2844">
        <v>39</v>
      </c>
      <c r="F2844" t="s">
        <v>6</v>
      </c>
      <c r="H2844" t="s">
        <v>60</v>
      </c>
      <c r="I2844">
        <v>2023</v>
      </c>
    </row>
    <row r="2845" spans="1:9" x14ac:dyDescent="0.3">
      <c r="A2845">
        <v>134753801</v>
      </c>
      <c r="B2845" s="1">
        <v>45151</v>
      </c>
      <c r="D2845" t="s">
        <v>7</v>
      </c>
      <c r="E2845">
        <v>39</v>
      </c>
      <c r="F2845" t="s">
        <v>6</v>
      </c>
      <c r="H2845" t="s">
        <v>60</v>
      </c>
      <c r="I2845">
        <v>2023</v>
      </c>
    </row>
    <row r="2846" spans="1:9" x14ac:dyDescent="0.3">
      <c r="A2846">
        <v>182584521</v>
      </c>
      <c r="B2846" s="1">
        <v>45151</v>
      </c>
      <c r="D2846" t="s">
        <v>7</v>
      </c>
      <c r="E2846">
        <v>39</v>
      </c>
      <c r="F2846" t="s">
        <v>6</v>
      </c>
      <c r="H2846" t="s">
        <v>60</v>
      </c>
      <c r="I2846">
        <v>2023</v>
      </c>
    </row>
    <row r="2847" spans="1:9" x14ac:dyDescent="0.3">
      <c r="A2847">
        <v>219955434</v>
      </c>
      <c r="B2847" s="1">
        <v>45151</v>
      </c>
      <c r="D2847" t="s">
        <v>7</v>
      </c>
      <c r="E2847">
        <v>39</v>
      </c>
      <c r="F2847" t="s">
        <v>6</v>
      </c>
      <c r="H2847" t="s">
        <v>60</v>
      </c>
      <c r="I2847">
        <v>2023</v>
      </c>
    </row>
    <row r="2848" spans="1:9" x14ac:dyDescent="0.3">
      <c r="A2848">
        <v>219951440</v>
      </c>
      <c r="B2848" s="1">
        <v>45151</v>
      </c>
      <c r="D2848" t="s">
        <v>7</v>
      </c>
      <c r="E2848">
        <v>39</v>
      </c>
      <c r="F2848" t="s">
        <v>6</v>
      </c>
      <c r="H2848" t="s">
        <v>60</v>
      </c>
      <c r="I2848">
        <v>2023</v>
      </c>
    </row>
    <row r="2849" spans="1:9" x14ac:dyDescent="0.3">
      <c r="A2849">
        <v>219808428</v>
      </c>
      <c r="B2849" s="1">
        <v>45151</v>
      </c>
      <c r="C2849" s="1">
        <v>45170</v>
      </c>
      <c r="D2849" t="s">
        <v>7</v>
      </c>
      <c r="E2849">
        <v>39</v>
      </c>
      <c r="F2849" t="s">
        <v>6</v>
      </c>
      <c r="G2849" s="19">
        <v>19</v>
      </c>
      <c r="H2849" t="s">
        <v>60</v>
      </c>
      <c r="I2849">
        <v>2023</v>
      </c>
    </row>
    <row r="2850" spans="1:9" x14ac:dyDescent="0.3">
      <c r="A2850">
        <v>191034251</v>
      </c>
      <c r="B2850" s="1">
        <v>45152</v>
      </c>
      <c r="D2850" t="s">
        <v>7</v>
      </c>
      <c r="E2850">
        <v>39</v>
      </c>
      <c r="F2850" t="s">
        <v>6</v>
      </c>
      <c r="H2850" t="s">
        <v>61</v>
      </c>
      <c r="I2850">
        <v>2023</v>
      </c>
    </row>
    <row r="2851" spans="1:9" x14ac:dyDescent="0.3">
      <c r="A2851">
        <v>220023196</v>
      </c>
      <c r="B2851" s="1">
        <v>45152</v>
      </c>
      <c r="D2851" t="s">
        <v>7</v>
      </c>
      <c r="E2851">
        <v>39</v>
      </c>
      <c r="F2851" t="s">
        <v>6</v>
      </c>
      <c r="H2851" t="s">
        <v>61</v>
      </c>
      <c r="I2851">
        <v>2023</v>
      </c>
    </row>
    <row r="2852" spans="1:9" x14ac:dyDescent="0.3">
      <c r="A2852">
        <v>220028812</v>
      </c>
      <c r="B2852" s="1">
        <v>45152</v>
      </c>
      <c r="D2852" t="s">
        <v>7</v>
      </c>
      <c r="E2852">
        <v>39</v>
      </c>
      <c r="F2852" t="s">
        <v>6</v>
      </c>
      <c r="H2852" t="s">
        <v>61</v>
      </c>
      <c r="I2852">
        <v>2023</v>
      </c>
    </row>
    <row r="2853" spans="1:9" x14ac:dyDescent="0.3">
      <c r="A2853">
        <v>195988242</v>
      </c>
      <c r="B2853" s="1">
        <v>45152</v>
      </c>
      <c r="D2853" t="s">
        <v>7</v>
      </c>
      <c r="E2853">
        <v>39</v>
      </c>
      <c r="F2853" t="s">
        <v>6</v>
      </c>
      <c r="H2853" t="s">
        <v>61</v>
      </c>
      <c r="I2853">
        <v>2023</v>
      </c>
    </row>
    <row r="2854" spans="1:9" x14ac:dyDescent="0.3">
      <c r="A2854">
        <v>151633468</v>
      </c>
      <c r="B2854" s="1">
        <v>45152</v>
      </c>
      <c r="D2854" t="s">
        <v>7</v>
      </c>
      <c r="E2854">
        <v>39</v>
      </c>
      <c r="F2854" t="s">
        <v>6</v>
      </c>
      <c r="H2854" t="s">
        <v>61</v>
      </c>
      <c r="I2854">
        <v>2023</v>
      </c>
    </row>
    <row r="2855" spans="1:9" x14ac:dyDescent="0.3">
      <c r="A2855">
        <v>220012044</v>
      </c>
      <c r="B2855" s="1">
        <v>45152</v>
      </c>
      <c r="D2855" t="s">
        <v>7</v>
      </c>
      <c r="E2855">
        <v>39</v>
      </c>
      <c r="F2855" t="s">
        <v>6</v>
      </c>
      <c r="H2855" t="s">
        <v>61</v>
      </c>
      <c r="I2855">
        <v>2023</v>
      </c>
    </row>
    <row r="2856" spans="1:9" x14ac:dyDescent="0.3">
      <c r="A2856">
        <v>219981231</v>
      </c>
      <c r="B2856" s="1">
        <v>45152</v>
      </c>
      <c r="D2856" t="s">
        <v>7</v>
      </c>
      <c r="E2856">
        <v>39</v>
      </c>
      <c r="F2856" t="s">
        <v>6</v>
      </c>
      <c r="H2856" t="s">
        <v>61</v>
      </c>
      <c r="I2856">
        <v>2023</v>
      </c>
    </row>
    <row r="2857" spans="1:9" x14ac:dyDescent="0.3">
      <c r="A2857">
        <v>169692209</v>
      </c>
      <c r="B2857" s="1">
        <v>45152</v>
      </c>
      <c r="D2857" t="s">
        <v>7</v>
      </c>
      <c r="E2857">
        <v>39</v>
      </c>
      <c r="F2857" t="s">
        <v>6</v>
      </c>
      <c r="H2857" t="s">
        <v>61</v>
      </c>
      <c r="I2857">
        <v>2023</v>
      </c>
    </row>
    <row r="2858" spans="1:9" x14ac:dyDescent="0.3">
      <c r="A2858">
        <v>116156335</v>
      </c>
      <c r="B2858" s="1">
        <v>45152</v>
      </c>
      <c r="D2858" t="s">
        <v>7</v>
      </c>
      <c r="E2858">
        <v>39</v>
      </c>
      <c r="F2858" t="s">
        <v>6</v>
      </c>
      <c r="H2858" t="s">
        <v>61</v>
      </c>
      <c r="I2858">
        <v>2023</v>
      </c>
    </row>
    <row r="2859" spans="1:9" x14ac:dyDescent="0.3">
      <c r="A2859">
        <v>153393340</v>
      </c>
      <c r="B2859" s="1">
        <v>45152</v>
      </c>
      <c r="D2859" t="s">
        <v>7</v>
      </c>
      <c r="E2859">
        <v>39</v>
      </c>
      <c r="F2859" t="s">
        <v>6</v>
      </c>
      <c r="H2859" t="s">
        <v>61</v>
      </c>
      <c r="I2859">
        <v>2023</v>
      </c>
    </row>
    <row r="2860" spans="1:9" x14ac:dyDescent="0.3">
      <c r="A2860">
        <v>219974920</v>
      </c>
      <c r="B2860" s="1">
        <v>45152</v>
      </c>
      <c r="D2860" t="s">
        <v>7</v>
      </c>
      <c r="E2860">
        <v>39</v>
      </c>
      <c r="F2860" t="s">
        <v>6</v>
      </c>
      <c r="H2860" t="s">
        <v>61</v>
      </c>
      <c r="I2860">
        <v>2023</v>
      </c>
    </row>
    <row r="2861" spans="1:9" x14ac:dyDescent="0.3">
      <c r="A2861">
        <v>121253113</v>
      </c>
      <c r="B2861" s="1">
        <v>45152</v>
      </c>
      <c r="C2861" s="1">
        <v>45154</v>
      </c>
      <c r="D2861" t="s">
        <v>7</v>
      </c>
      <c r="E2861">
        <v>39</v>
      </c>
      <c r="F2861" t="s">
        <v>6</v>
      </c>
      <c r="G2861" s="19">
        <v>2</v>
      </c>
      <c r="H2861" t="s">
        <v>61</v>
      </c>
      <c r="I2861">
        <v>2023</v>
      </c>
    </row>
    <row r="2862" spans="1:9" x14ac:dyDescent="0.3">
      <c r="A2862">
        <v>219690296</v>
      </c>
      <c r="B2862" s="1">
        <v>45153</v>
      </c>
      <c r="D2862" t="s">
        <v>7</v>
      </c>
      <c r="E2862">
        <v>39</v>
      </c>
      <c r="F2862" t="s">
        <v>6</v>
      </c>
      <c r="H2862" t="s">
        <v>62</v>
      </c>
      <c r="I2862">
        <v>2023</v>
      </c>
    </row>
    <row r="2863" spans="1:9" x14ac:dyDescent="0.3">
      <c r="A2863">
        <v>187268085</v>
      </c>
      <c r="B2863" s="1">
        <v>45153</v>
      </c>
      <c r="D2863" t="s">
        <v>7</v>
      </c>
      <c r="E2863">
        <v>39</v>
      </c>
      <c r="F2863" t="s">
        <v>6</v>
      </c>
      <c r="H2863" t="s">
        <v>62</v>
      </c>
      <c r="I2863">
        <v>2023</v>
      </c>
    </row>
    <row r="2864" spans="1:9" x14ac:dyDescent="0.3">
      <c r="A2864">
        <v>150623785</v>
      </c>
      <c r="B2864" s="1">
        <v>45153</v>
      </c>
      <c r="D2864" t="s">
        <v>7</v>
      </c>
      <c r="E2864">
        <v>39</v>
      </c>
      <c r="F2864" t="s">
        <v>6</v>
      </c>
      <c r="H2864" t="s">
        <v>62</v>
      </c>
      <c r="I2864">
        <v>2023</v>
      </c>
    </row>
    <row r="2865" spans="1:9" x14ac:dyDescent="0.3">
      <c r="A2865">
        <v>220056524</v>
      </c>
      <c r="B2865" s="1">
        <v>45153</v>
      </c>
      <c r="C2865" s="1">
        <v>45154</v>
      </c>
      <c r="D2865" t="s">
        <v>8</v>
      </c>
      <c r="E2865">
        <v>39</v>
      </c>
      <c r="F2865" t="s">
        <v>6</v>
      </c>
      <c r="G2865" s="19">
        <v>1</v>
      </c>
      <c r="H2865" t="s">
        <v>62</v>
      </c>
      <c r="I2865">
        <v>2023</v>
      </c>
    </row>
    <row r="2866" spans="1:9" x14ac:dyDescent="0.3">
      <c r="A2866">
        <v>208188866</v>
      </c>
      <c r="B2866" s="1">
        <v>45154</v>
      </c>
      <c r="D2866" t="s">
        <v>7</v>
      </c>
      <c r="E2866">
        <v>39</v>
      </c>
      <c r="F2866" t="s">
        <v>6</v>
      </c>
      <c r="H2866" t="s">
        <v>63</v>
      </c>
      <c r="I2866">
        <v>2023</v>
      </c>
    </row>
    <row r="2867" spans="1:9" x14ac:dyDescent="0.3">
      <c r="A2867">
        <v>219081046</v>
      </c>
      <c r="B2867" s="1">
        <v>45154</v>
      </c>
      <c r="D2867" t="s">
        <v>7</v>
      </c>
      <c r="E2867">
        <v>39</v>
      </c>
      <c r="F2867" t="s">
        <v>6</v>
      </c>
      <c r="H2867" t="s">
        <v>63</v>
      </c>
      <c r="I2867">
        <v>2023</v>
      </c>
    </row>
    <row r="2868" spans="1:9" x14ac:dyDescent="0.3">
      <c r="A2868">
        <v>219569143</v>
      </c>
      <c r="B2868" s="1">
        <v>45154</v>
      </c>
      <c r="D2868" t="s">
        <v>7</v>
      </c>
      <c r="E2868">
        <v>39</v>
      </c>
      <c r="F2868" t="s">
        <v>6</v>
      </c>
      <c r="H2868" t="s">
        <v>63</v>
      </c>
      <c r="I2868">
        <v>2023</v>
      </c>
    </row>
    <row r="2869" spans="1:9" x14ac:dyDescent="0.3">
      <c r="A2869">
        <v>219653068</v>
      </c>
      <c r="B2869" s="1">
        <v>45154</v>
      </c>
      <c r="D2869" t="s">
        <v>7</v>
      </c>
      <c r="E2869">
        <v>39</v>
      </c>
      <c r="F2869" t="s">
        <v>6</v>
      </c>
      <c r="H2869" t="s">
        <v>63</v>
      </c>
      <c r="I2869">
        <v>2023</v>
      </c>
    </row>
    <row r="2870" spans="1:9" x14ac:dyDescent="0.3">
      <c r="A2870">
        <v>220120740</v>
      </c>
      <c r="B2870" s="1">
        <v>45154</v>
      </c>
      <c r="D2870" t="s">
        <v>7</v>
      </c>
      <c r="E2870">
        <v>39</v>
      </c>
      <c r="F2870" t="s">
        <v>6</v>
      </c>
      <c r="H2870" t="s">
        <v>63</v>
      </c>
      <c r="I2870">
        <v>2023</v>
      </c>
    </row>
    <row r="2871" spans="1:9" x14ac:dyDescent="0.3">
      <c r="A2871">
        <v>186200901</v>
      </c>
      <c r="B2871" s="1">
        <v>45154</v>
      </c>
      <c r="D2871" t="s">
        <v>7</v>
      </c>
      <c r="E2871">
        <v>39</v>
      </c>
      <c r="F2871" t="s">
        <v>6</v>
      </c>
      <c r="H2871" t="s">
        <v>63</v>
      </c>
      <c r="I2871">
        <v>2023</v>
      </c>
    </row>
    <row r="2872" spans="1:9" x14ac:dyDescent="0.3">
      <c r="A2872">
        <v>220116966</v>
      </c>
      <c r="B2872" s="1">
        <v>45154</v>
      </c>
      <c r="D2872" t="s">
        <v>7</v>
      </c>
      <c r="E2872">
        <v>39</v>
      </c>
      <c r="F2872" t="s">
        <v>6</v>
      </c>
      <c r="H2872" t="s">
        <v>63</v>
      </c>
      <c r="I2872">
        <v>2023</v>
      </c>
    </row>
    <row r="2873" spans="1:9" x14ac:dyDescent="0.3">
      <c r="A2873">
        <v>219876215</v>
      </c>
      <c r="B2873" s="1">
        <v>45154</v>
      </c>
      <c r="D2873" t="s">
        <v>7</v>
      </c>
      <c r="E2873">
        <v>39</v>
      </c>
      <c r="F2873" t="s">
        <v>6</v>
      </c>
      <c r="H2873" t="s">
        <v>63</v>
      </c>
      <c r="I2873">
        <v>2023</v>
      </c>
    </row>
    <row r="2874" spans="1:9" x14ac:dyDescent="0.3">
      <c r="A2874">
        <v>219996796</v>
      </c>
      <c r="B2874" s="1">
        <v>45154</v>
      </c>
      <c r="D2874" t="s">
        <v>7</v>
      </c>
      <c r="E2874">
        <v>39</v>
      </c>
      <c r="F2874" t="s">
        <v>6</v>
      </c>
      <c r="H2874" t="s">
        <v>63</v>
      </c>
      <c r="I2874">
        <v>2023</v>
      </c>
    </row>
    <row r="2875" spans="1:9" x14ac:dyDescent="0.3">
      <c r="A2875">
        <v>218296652</v>
      </c>
      <c r="B2875" s="1">
        <v>45154</v>
      </c>
      <c r="D2875" t="s">
        <v>7</v>
      </c>
      <c r="E2875">
        <v>39</v>
      </c>
      <c r="F2875" t="s">
        <v>6</v>
      </c>
      <c r="H2875" t="s">
        <v>63</v>
      </c>
      <c r="I2875">
        <v>2023</v>
      </c>
    </row>
    <row r="2876" spans="1:9" x14ac:dyDescent="0.3">
      <c r="A2876">
        <v>188748372</v>
      </c>
      <c r="B2876" s="1">
        <v>45154</v>
      </c>
      <c r="D2876" t="s">
        <v>7</v>
      </c>
      <c r="E2876">
        <v>39</v>
      </c>
      <c r="F2876" t="s">
        <v>6</v>
      </c>
      <c r="H2876" t="s">
        <v>63</v>
      </c>
      <c r="I2876">
        <v>2023</v>
      </c>
    </row>
    <row r="2877" spans="1:9" x14ac:dyDescent="0.3">
      <c r="A2877">
        <v>220080560</v>
      </c>
      <c r="B2877" s="1">
        <v>45154</v>
      </c>
      <c r="D2877" t="s">
        <v>7</v>
      </c>
      <c r="E2877">
        <v>39</v>
      </c>
      <c r="F2877" t="s">
        <v>6</v>
      </c>
      <c r="H2877" t="s">
        <v>63</v>
      </c>
      <c r="I2877">
        <v>2023</v>
      </c>
    </row>
    <row r="2878" spans="1:9" x14ac:dyDescent="0.3">
      <c r="A2878">
        <v>219899496</v>
      </c>
      <c r="B2878" s="1">
        <v>45155</v>
      </c>
      <c r="D2878" t="s">
        <v>7</v>
      </c>
      <c r="E2878">
        <v>39</v>
      </c>
      <c r="F2878" t="s">
        <v>6</v>
      </c>
      <c r="H2878" t="s">
        <v>64</v>
      </c>
      <c r="I2878">
        <v>2023</v>
      </c>
    </row>
    <row r="2879" spans="1:9" x14ac:dyDescent="0.3">
      <c r="A2879">
        <v>219000322</v>
      </c>
      <c r="B2879" s="1">
        <v>45155</v>
      </c>
      <c r="D2879" t="s">
        <v>7</v>
      </c>
      <c r="E2879">
        <v>39</v>
      </c>
      <c r="F2879" t="s">
        <v>6</v>
      </c>
      <c r="H2879" t="s">
        <v>64</v>
      </c>
      <c r="I2879">
        <v>2023</v>
      </c>
    </row>
    <row r="2880" spans="1:9" x14ac:dyDescent="0.3">
      <c r="A2880">
        <v>220181992</v>
      </c>
      <c r="B2880" s="1">
        <v>45155</v>
      </c>
      <c r="D2880" t="s">
        <v>7</v>
      </c>
      <c r="E2880">
        <v>39</v>
      </c>
      <c r="F2880" t="s">
        <v>6</v>
      </c>
      <c r="H2880" t="s">
        <v>64</v>
      </c>
      <c r="I2880">
        <v>2023</v>
      </c>
    </row>
    <row r="2881" spans="1:9" x14ac:dyDescent="0.3">
      <c r="A2881">
        <v>220196419</v>
      </c>
      <c r="B2881" s="1">
        <v>45155</v>
      </c>
      <c r="D2881" t="s">
        <v>7</v>
      </c>
      <c r="E2881">
        <v>39</v>
      </c>
      <c r="F2881" t="s">
        <v>6</v>
      </c>
      <c r="H2881" t="s">
        <v>64</v>
      </c>
      <c r="I2881">
        <v>2023</v>
      </c>
    </row>
    <row r="2882" spans="1:9" x14ac:dyDescent="0.3">
      <c r="A2882">
        <v>220155197</v>
      </c>
      <c r="B2882" s="1">
        <v>45155</v>
      </c>
      <c r="D2882" t="s">
        <v>7</v>
      </c>
      <c r="E2882">
        <v>39</v>
      </c>
      <c r="F2882" t="s">
        <v>6</v>
      </c>
      <c r="H2882" t="s">
        <v>64</v>
      </c>
      <c r="I2882">
        <v>2023</v>
      </c>
    </row>
    <row r="2883" spans="1:9" x14ac:dyDescent="0.3">
      <c r="A2883">
        <v>220144619</v>
      </c>
      <c r="B2883" s="1">
        <v>45155</v>
      </c>
      <c r="D2883" t="s">
        <v>7</v>
      </c>
      <c r="E2883">
        <v>39</v>
      </c>
      <c r="F2883" t="s">
        <v>6</v>
      </c>
      <c r="H2883" t="s">
        <v>64</v>
      </c>
      <c r="I2883">
        <v>2023</v>
      </c>
    </row>
    <row r="2884" spans="1:9" x14ac:dyDescent="0.3">
      <c r="A2884">
        <v>220184550</v>
      </c>
      <c r="B2884" s="1">
        <v>45155</v>
      </c>
      <c r="D2884" t="s">
        <v>7</v>
      </c>
      <c r="E2884">
        <v>39</v>
      </c>
      <c r="F2884" t="s">
        <v>6</v>
      </c>
      <c r="H2884" t="s">
        <v>64</v>
      </c>
      <c r="I2884">
        <v>2023</v>
      </c>
    </row>
    <row r="2885" spans="1:9" x14ac:dyDescent="0.3">
      <c r="A2885">
        <v>152209352</v>
      </c>
      <c r="B2885" s="1">
        <v>45155</v>
      </c>
      <c r="D2885" t="s">
        <v>7</v>
      </c>
      <c r="E2885">
        <v>39</v>
      </c>
      <c r="F2885" t="s">
        <v>6</v>
      </c>
      <c r="H2885" t="s">
        <v>64</v>
      </c>
      <c r="I2885">
        <v>2023</v>
      </c>
    </row>
    <row r="2886" spans="1:9" x14ac:dyDescent="0.3">
      <c r="A2886">
        <v>146952862</v>
      </c>
      <c r="B2886" s="1">
        <v>45155</v>
      </c>
      <c r="D2886" t="s">
        <v>7</v>
      </c>
      <c r="E2886">
        <v>39</v>
      </c>
      <c r="F2886" t="s">
        <v>6</v>
      </c>
      <c r="H2886" t="s">
        <v>64</v>
      </c>
      <c r="I2886">
        <v>2023</v>
      </c>
    </row>
    <row r="2887" spans="1:9" x14ac:dyDescent="0.3">
      <c r="A2887">
        <v>220178530</v>
      </c>
      <c r="B2887" s="1">
        <v>45155</v>
      </c>
      <c r="D2887" t="s">
        <v>7</v>
      </c>
      <c r="E2887">
        <v>39</v>
      </c>
      <c r="F2887" t="s">
        <v>6</v>
      </c>
      <c r="H2887" t="s">
        <v>64</v>
      </c>
      <c r="I2887">
        <v>2023</v>
      </c>
    </row>
    <row r="2888" spans="1:9" x14ac:dyDescent="0.3">
      <c r="A2888">
        <v>219498470</v>
      </c>
      <c r="B2888" s="1">
        <v>45155</v>
      </c>
      <c r="D2888" t="s">
        <v>7</v>
      </c>
      <c r="E2888">
        <v>39</v>
      </c>
      <c r="F2888" t="s">
        <v>6</v>
      </c>
      <c r="H2888" t="s">
        <v>64</v>
      </c>
      <c r="I2888">
        <v>2023</v>
      </c>
    </row>
    <row r="2889" spans="1:9" x14ac:dyDescent="0.3">
      <c r="A2889">
        <v>216622895</v>
      </c>
      <c r="B2889" s="1">
        <v>45155</v>
      </c>
      <c r="D2889" t="s">
        <v>7</v>
      </c>
      <c r="E2889">
        <v>39</v>
      </c>
      <c r="F2889" t="s">
        <v>6</v>
      </c>
      <c r="H2889" t="s">
        <v>64</v>
      </c>
      <c r="I2889">
        <v>2023</v>
      </c>
    </row>
    <row r="2890" spans="1:9" x14ac:dyDescent="0.3">
      <c r="A2890">
        <v>153705354</v>
      </c>
      <c r="B2890" s="1">
        <v>45155</v>
      </c>
      <c r="C2890" s="1">
        <v>45155</v>
      </c>
      <c r="D2890" t="s">
        <v>7</v>
      </c>
      <c r="E2890">
        <v>39</v>
      </c>
      <c r="F2890" t="s">
        <v>6</v>
      </c>
      <c r="G2890" s="19">
        <v>0</v>
      </c>
      <c r="H2890" t="s">
        <v>64</v>
      </c>
      <c r="I2890">
        <v>2023</v>
      </c>
    </row>
    <row r="2891" spans="1:9" x14ac:dyDescent="0.3">
      <c r="A2891">
        <v>219280628</v>
      </c>
      <c r="B2891" s="1">
        <v>45155</v>
      </c>
      <c r="C2891" s="1">
        <v>45156</v>
      </c>
      <c r="D2891" t="s">
        <v>8</v>
      </c>
      <c r="E2891">
        <v>39</v>
      </c>
      <c r="F2891" t="s">
        <v>6</v>
      </c>
      <c r="G2891" s="19">
        <v>1</v>
      </c>
      <c r="H2891" t="s">
        <v>64</v>
      </c>
      <c r="I2891">
        <v>2023</v>
      </c>
    </row>
    <row r="2892" spans="1:9" x14ac:dyDescent="0.3">
      <c r="A2892">
        <v>220171290</v>
      </c>
      <c r="B2892" s="1">
        <v>45156</v>
      </c>
      <c r="D2892" t="s">
        <v>7</v>
      </c>
      <c r="E2892">
        <v>39</v>
      </c>
      <c r="F2892" t="s">
        <v>6</v>
      </c>
      <c r="H2892" t="s">
        <v>65</v>
      </c>
      <c r="I2892">
        <v>2023</v>
      </c>
    </row>
    <row r="2893" spans="1:9" x14ac:dyDescent="0.3">
      <c r="A2893">
        <v>219553060</v>
      </c>
      <c r="B2893" s="1">
        <v>45156</v>
      </c>
      <c r="D2893" t="s">
        <v>7</v>
      </c>
      <c r="E2893">
        <v>39</v>
      </c>
      <c r="F2893" t="s">
        <v>6</v>
      </c>
      <c r="H2893" t="s">
        <v>65</v>
      </c>
      <c r="I2893">
        <v>2023</v>
      </c>
    </row>
    <row r="2894" spans="1:9" x14ac:dyDescent="0.3">
      <c r="A2894">
        <v>220244827</v>
      </c>
      <c r="B2894" s="1">
        <v>45156</v>
      </c>
      <c r="D2894" t="s">
        <v>7</v>
      </c>
      <c r="E2894">
        <v>39</v>
      </c>
      <c r="F2894" t="s">
        <v>6</v>
      </c>
      <c r="H2894" t="s">
        <v>65</v>
      </c>
      <c r="I2894">
        <v>2023</v>
      </c>
    </row>
    <row r="2895" spans="1:9" x14ac:dyDescent="0.3">
      <c r="A2895">
        <v>219612883</v>
      </c>
      <c r="B2895" s="1">
        <v>45156</v>
      </c>
      <c r="D2895" t="s">
        <v>7</v>
      </c>
      <c r="E2895">
        <v>39</v>
      </c>
      <c r="F2895" t="s">
        <v>6</v>
      </c>
      <c r="H2895" t="s">
        <v>65</v>
      </c>
      <c r="I2895">
        <v>2023</v>
      </c>
    </row>
    <row r="2896" spans="1:9" x14ac:dyDescent="0.3">
      <c r="A2896">
        <v>217914279</v>
      </c>
      <c r="B2896" s="1">
        <v>45156</v>
      </c>
      <c r="D2896" t="s">
        <v>7</v>
      </c>
      <c r="E2896">
        <v>39</v>
      </c>
      <c r="F2896" t="s">
        <v>6</v>
      </c>
      <c r="H2896" t="s">
        <v>65</v>
      </c>
      <c r="I2896">
        <v>2023</v>
      </c>
    </row>
    <row r="2897" spans="1:9" x14ac:dyDescent="0.3">
      <c r="A2897">
        <v>220171851</v>
      </c>
      <c r="B2897" s="1">
        <v>45156</v>
      </c>
      <c r="D2897" t="s">
        <v>7</v>
      </c>
      <c r="E2897">
        <v>39</v>
      </c>
      <c r="F2897" t="s">
        <v>6</v>
      </c>
      <c r="H2897" t="s">
        <v>65</v>
      </c>
      <c r="I2897">
        <v>2023</v>
      </c>
    </row>
    <row r="2898" spans="1:9" x14ac:dyDescent="0.3">
      <c r="A2898">
        <v>217543308</v>
      </c>
      <c r="B2898" s="1">
        <v>45156</v>
      </c>
      <c r="D2898" t="s">
        <v>7</v>
      </c>
      <c r="E2898">
        <v>39</v>
      </c>
      <c r="F2898" t="s">
        <v>6</v>
      </c>
      <c r="H2898" t="s">
        <v>65</v>
      </c>
      <c r="I2898">
        <v>2023</v>
      </c>
    </row>
    <row r="2899" spans="1:9" x14ac:dyDescent="0.3">
      <c r="A2899">
        <v>157008330</v>
      </c>
      <c r="B2899" s="1">
        <v>45156</v>
      </c>
      <c r="C2899" s="1">
        <v>45156</v>
      </c>
      <c r="D2899" t="s">
        <v>7</v>
      </c>
      <c r="E2899">
        <v>39</v>
      </c>
      <c r="F2899" t="s">
        <v>6</v>
      </c>
      <c r="G2899" s="19">
        <v>0</v>
      </c>
      <c r="H2899" t="s">
        <v>65</v>
      </c>
      <c r="I2899">
        <v>2023</v>
      </c>
    </row>
    <row r="2900" spans="1:9" x14ac:dyDescent="0.3">
      <c r="A2900">
        <v>206063908</v>
      </c>
      <c r="B2900" s="1">
        <v>45156</v>
      </c>
      <c r="C2900" s="1">
        <v>45176</v>
      </c>
      <c r="D2900" t="s">
        <v>7</v>
      </c>
      <c r="E2900">
        <v>39</v>
      </c>
      <c r="F2900" t="s">
        <v>6</v>
      </c>
      <c r="G2900" s="19">
        <v>20</v>
      </c>
      <c r="H2900" t="s">
        <v>65</v>
      </c>
      <c r="I2900">
        <v>2023</v>
      </c>
    </row>
    <row r="2901" spans="1:9" x14ac:dyDescent="0.3">
      <c r="A2901">
        <v>220182716</v>
      </c>
      <c r="B2901" s="1">
        <v>45156</v>
      </c>
      <c r="C2901" s="1">
        <v>45157</v>
      </c>
      <c r="D2901" t="s">
        <v>8</v>
      </c>
      <c r="E2901">
        <v>39</v>
      </c>
      <c r="F2901" t="s">
        <v>6</v>
      </c>
      <c r="G2901" s="19">
        <v>1</v>
      </c>
      <c r="H2901" t="s">
        <v>65</v>
      </c>
      <c r="I2901">
        <v>2023</v>
      </c>
    </row>
    <row r="2902" spans="1:9" x14ac:dyDescent="0.3">
      <c r="A2902">
        <v>202103959</v>
      </c>
      <c r="B2902" s="1">
        <v>45157</v>
      </c>
      <c r="D2902" t="s">
        <v>7</v>
      </c>
      <c r="E2902">
        <v>39</v>
      </c>
      <c r="F2902" t="s">
        <v>6</v>
      </c>
      <c r="H2902" t="s">
        <v>66</v>
      </c>
      <c r="I2902">
        <v>2023</v>
      </c>
    </row>
    <row r="2903" spans="1:9" x14ac:dyDescent="0.3">
      <c r="A2903">
        <v>218757796</v>
      </c>
      <c r="B2903" s="1">
        <v>45157</v>
      </c>
      <c r="D2903" t="s">
        <v>7</v>
      </c>
      <c r="E2903">
        <v>39</v>
      </c>
      <c r="F2903" t="s">
        <v>6</v>
      </c>
      <c r="H2903" t="s">
        <v>66</v>
      </c>
      <c r="I2903">
        <v>2023</v>
      </c>
    </row>
    <row r="2904" spans="1:9" x14ac:dyDescent="0.3">
      <c r="A2904">
        <v>220272556</v>
      </c>
      <c r="B2904" s="1">
        <v>45157</v>
      </c>
      <c r="D2904" t="s">
        <v>7</v>
      </c>
      <c r="E2904">
        <v>39</v>
      </c>
      <c r="F2904" t="s">
        <v>6</v>
      </c>
      <c r="H2904" t="s">
        <v>66</v>
      </c>
      <c r="I2904">
        <v>2023</v>
      </c>
    </row>
    <row r="2905" spans="1:9" x14ac:dyDescent="0.3">
      <c r="A2905">
        <v>219493644</v>
      </c>
      <c r="B2905" s="1">
        <v>45157</v>
      </c>
      <c r="D2905" t="s">
        <v>7</v>
      </c>
      <c r="E2905">
        <v>39</v>
      </c>
      <c r="F2905" t="s">
        <v>6</v>
      </c>
      <c r="H2905" t="s">
        <v>66</v>
      </c>
      <c r="I2905">
        <v>2023</v>
      </c>
    </row>
    <row r="2906" spans="1:9" x14ac:dyDescent="0.3">
      <c r="A2906">
        <v>148996798</v>
      </c>
      <c r="B2906" s="1">
        <v>45157</v>
      </c>
      <c r="D2906" t="s">
        <v>7</v>
      </c>
      <c r="E2906">
        <v>39</v>
      </c>
      <c r="F2906" t="s">
        <v>6</v>
      </c>
      <c r="H2906" t="s">
        <v>66</v>
      </c>
      <c r="I2906">
        <v>2023</v>
      </c>
    </row>
    <row r="2907" spans="1:9" x14ac:dyDescent="0.3">
      <c r="A2907">
        <v>218947678</v>
      </c>
      <c r="B2907" s="1">
        <v>45157</v>
      </c>
      <c r="D2907" t="s">
        <v>7</v>
      </c>
      <c r="E2907">
        <v>39</v>
      </c>
      <c r="F2907" t="s">
        <v>6</v>
      </c>
      <c r="H2907" t="s">
        <v>66</v>
      </c>
      <c r="I2907">
        <v>2023</v>
      </c>
    </row>
    <row r="2908" spans="1:9" x14ac:dyDescent="0.3">
      <c r="A2908">
        <v>119465934</v>
      </c>
      <c r="B2908" s="1">
        <v>45157</v>
      </c>
      <c r="D2908" t="s">
        <v>7</v>
      </c>
      <c r="E2908">
        <v>39</v>
      </c>
      <c r="F2908" t="s">
        <v>6</v>
      </c>
      <c r="H2908" t="s">
        <v>66</v>
      </c>
      <c r="I2908">
        <v>2023</v>
      </c>
    </row>
    <row r="2909" spans="1:9" x14ac:dyDescent="0.3">
      <c r="A2909">
        <v>219195061</v>
      </c>
      <c r="B2909" s="1">
        <v>45157</v>
      </c>
      <c r="D2909" t="s">
        <v>7</v>
      </c>
      <c r="E2909">
        <v>39</v>
      </c>
      <c r="F2909" t="s">
        <v>6</v>
      </c>
      <c r="H2909" t="s">
        <v>66</v>
      </c>
      <c r="I2909">
        <v>2023</v>
      </c>
    </row>
    <row r="2910" spans="1:9" x14ac:dyDescent="0.3">
      <c r="A2910">
        <v>219637590</v>
      </c>
      <c r="B2910" s="1">
        <v>45157</v>
      </c>
      <c r="C2910" s="1">
        <v>45163</v>
      </c>
      <c r="D2910" t="s">
        <v>7</v>
      </c>
      <c r="E2910">
        <v>39</v>
      </c>
      <c r="F2910" t="s">
        <v>6</v>
      </c>
      <c r="G2910" s="19">
        <v>6</v>
      </c>
      <c r="H2910" t="s">
        <v>66</v>
      </c>
      <c r="I2910">
        <v>2023</v>
      </c>
    </row>
    <row r="2911" spans="1:9" x14ac:dyDescent="0.3">
      <c r="A2911">
        <v>218878930</v>
      </c>
      <c r="B2911" s="1">
        <v>45158</v>
      </c>
      <c r="D2911" t="s">
        <v>7</v>
      </c>
      <c r="E2911">
        <v>39</v>
      </c>
      <c r="F2911" t="s">
        <v>6</v>
      </c>
      <c r="H2911" t="s">
        <v>60</v>
      </c>
      <c r="I2911">
        <v>2023</v>
      </c>
    </row>
    <row r="2912" spans="1:9" x14ac:dyDescent="0.3">
      <c r="A2912">
        <v>134622358</v>
      </c>
      <c r="B2912" s="1">
        <v>45158</v>
      </c>
      <c r="D2912" t="s">
        <v>7</v>
      </c>
      <c r="E2912">
        <v>39</v>
      </c>
      <c r="F2912" t="s">
        <v>6</v>
      </c>
      <c r="H2912" t="s">
        <v>60</v>
      </c>
      <c r="I2912">
        <v>2023</v>
      </c>
    </row>
    <row r="2913" spans="1:9" x14ac:dyDescent="0.3">
      <c r="A2913">
        <v>219237524</v>
      </c>
      <c r="B2913" s="1">
        <v>45158</v>
      </c>
      <c r="D2913" t="s">
        <v>7</v>
      </c>
      <c r="E2913">
        <v>39</v>
      </c>
      <c r="F2913" t="s">
        <v>6</v>
      </c>
      <c r="H2913" t="s">
        <v>60</v>
      </c>
      <c r="I2913">
        <v>2023</v>
      </c>
    </row>
    <row r="2914" spans="1:9" x14ac:dyDescent="0.3">
      <c r="A2914">
        <v>147320092</v>
      </c>
      <c r="B2914" s="1">
        <v>45158</v>
      </c>
      <c r="D2914" t="s">
        <v>7</v>
      </c>
      <c r="E2914">
        <v>39</v>
      </c>
      <c r="F2914" t="s">
        <v>6</v>
      </c>
      <c r="H2914" t="s">
        <v>60</v>
      </c>
      <c r="I2914">
        <v>2023</v>
      </c>
    </row>
    <row r="2915" spans="1:9" x14ac:dyDescent="0.3">
      <c r="A2915">
        <v>219953886</v>
      </c>
      <c r="B2915" s="1">
        <v>45158</v>
      </c>
      <c r="D2915" t="s">
        <v>7</v>
      </c>
      <c r="E2915">
        <v>39</v>
      </c>
      <c r="F2915" t="s">
        <v>6</v>
      </c>
      <c r="H2915" t="s">
        <v>60</v>
      </c>
      <c r="I2915">
        <v>2023</v>
      </c>
    </row>
    <row r="2916" spans="1:9" x14ac:dyDescent="0.3">
      <c r="A2916">
        <v>207013932</v>
      </c>
      <c r="B2916" s="1">
        <v>45158</v>
      </c>
      <c r="C2916" s="1">
        <v>45158</v>
      </c>
      <c r="D2916" t="s">
        <v>8</v>
      </c>
      <c r="E2916">
        <v>39</v>
      </c>
      <c r="F2916" t="s">
        <v>6</v>
      </c>
      <c r="G2916" s="19">
        <v>0</v>
      </c>
      <c r="H2916" t="s">
        <v>60</v>
      </c>
      <c r="I2916">
        <v>2023</v>
      </c>
    </row>
    <row r="2917" spans="1:9" x14ac:dyDescent="0.3">
      <c r="A2917">
        <v>205274562</v>
      </c>
      <c r="B2917" s="1">
        <v>45159</v>
      </c>
      <c r="D2917" t="s">
        <v>7</v>
      </c>
      <c r="E2917">
        <v>39</v>
      </c>
      <c r="F2917" t="s">
        <v>6</v>
      </c>
      <c r="H2917" t="s">
        <v>61</v>
      </c>
      <c r="I2917">
        <v>2023</v>
      </c>
    </row>
    <row r="2918" spans="1:9" x14ac:dyDescent="0.3">
      <c r="A2918">
        <v>152698255</v>
      </c>
      <c r="B2918" s="1">
        <v>45159</v>
      </c>
      <c r="D2918" t="s">
        <v>7</v>
      </c>
      <c r="E2918">
        <v>39</v>
      </c>
      <c r="F2918" t="s">
        <v>6</v>
      </c>
      <c r="H2918" t="s">
        <v>61</v>
      </c>
      <c r="I2918">
        <v>2023</v>
      </c>
    </row>
    <row r="2919" spans="1:9" x14ac:dyDescent="0.3">
      <c r="A2919">
        <v>209361492</v>
      </c>
      <c r="B2919" s="1">
        <v>45159</v>
      </c>
      <c r="D2919" t="s">
        <v>7</v>
      </c>
      <c r="E2919">
        <v>39</v>
      </c>
      <c r="F2919" t="s">
        <v>6</v>
      </c>
      <c r="H2919" t="s">
        <v>61</v>
      </c>
      <c r="I2919">
        <v>2023</v>
      </c>
    </row>
    <row r="2920" spans="1:9" x14ac:dyDescent="0.3">
      <c r="A2920">
        <v>205530810</v>
      </c>
      <c r="B2920" s="1">
        <v>45159</v>
      </c>
      <c r="D2920" t="s">
        <v>7</v>
      </c>
      <c r="E2920">
        <v>39</v>
      </c>
      <c r="F2920" t="s">
        <v>6</v>
      </c>
      <c r="H2920" t="s">
        <v>61</v>
      </c>
      <c r="I2920">
        <v>2023</v>
      </c>
    </row>
    <row r="2921" spans="1:9" x14ac:dyDescent="0.3">
      <c r="A2921">
        <v>220343801</v>
      </c>
      <c r="B2921" s="1">
        <v>45159</v>
      </c>
      <c r="D2921" t="s">
        <v>7</v>
      </c>
      <c r="E2921">
        <v>39</v>
      </c>
      <c r="F2921" t="s">
        <v>6</v>
      </c>
      <c r="H2921" t="s">
        <v>61</v>
      </c>
      <c r="I2921">
        <v>2023</v>
      </c>
    </row>
    <row r="2922" spans="1:9" x14ac:dyDescent="0.3">
      <c r="A2922">
        <v>150441222</v>
      </c>
      <c r="B2922" s="1">
        <v>45159</v>
      </c>
      <c r="D2922" t="s">
        <v>7</v>
      </c>
      <c r="E2922">
        <v>39</v>
      </c>
      <c r="F2922" t="s">
        <v>6</v>
      </c>
      <c r="H2922" t="s">
        <v>61</v>
      </c>
      <c r="I2922">
        <v>2023</v>
      </c>
    </row>
    <row r="2923" spans="1:9" x14ac:dyDescent="0.3">
      <c r="A2923">
        <v>214640803</v>
      </c>
      <c r="B2923" s="1">
        <v>45159</v>
      </c>
      <c r="D2923" t="s">
        <v>7</v>
      </c>
      <c r="E2923">
        <v>39</v>
      </c>
      <c r="F2923" t="s">
        <v>6</v>
      </c>
      <c r="H2923" t="s">
        <v>61</v>
      </c>
      <c r="I2923">
        <v>2023</v>
      </c>
    </row>
    <row r="2924" spans="1:9" x14ac:dyDescent="0.3">
      <c r="A2924">
        <v>219569853</v>
      </c>
      <c r="B2924" s="1">
        <v>45159</v>
      </c>
      <c r="D2924" t="s">
        <v>7</v>
      </c>
      <c r="E2924">
        <v>39</v>
      </c>
      <c r="F2924" t="s">
        <v>6</v>
      </c>
      <c r="H2924" t="s">
        <v>61</v>
      </c>
      <c r="I2924">
        <v>2023</v>
      </c>
    </row>
    <row r="2925" spans="1:9" x14ac:dyDescent="0.3">
      <c r="A2925">
        <v>220197494</v>
      </c>
      <c r="B2925" s="1">
        <v>45159</v>
      </c>
      <c r="D2925" t="s">
        <v>7</v>
      </c>
      <c r="E2925">
        <v>39</v>
      </c>
      <c r="F2925" t="s">
        <v>6</v>
      </c>
      <c r="H2925" t="s">
        <v>61</v>
      </c>
      <c r="I2925">
        <v>2023</v>
      </c>
    </row>
    <row r="2926" spans="1:9" x14ac:dyDescent="0.3">
      <c r="A2926">
        <v>220323698</v>
      </c>
      <c r="B2926" s="1">
        <v>45159</v>
      </c>
      <c r="D2926" t="s">
        <v>7</v>
      </c>
      <c r="E2926">
        <v>39</v>
      </c>
      <c r="F2926" t="s">
        <v>6</v>
      </c>
      <c r="H2926" t="s">
        <v>61</v>
      </c>
      <c r="I2926">
        <v>2023</v>
      </c>
    </row>
    <row r="2927" spans="1:9" x14ac:dyDescent="0.3">
      <c r="A2927">
        <v>215180470</v>
      </c>
      <c r="B2927" s="1">
        <v>45159</v>
      </c>
      <c r="C2927" s="1">
        <v>45159</v>
      </c>
      <c r="D2927" t="s">
        <v>7</v>
      </c>
      <c r="E2927">
        <v>39</v>
      </c>
      <c r="F2927" t="s">
        <v>6</v>
      </c>
      <c r="G2927" s="19">
        <v>0</v>
      </c>
      <c r="H2927" t="s">
        <v>61</v>
      </c>
      <c r="I2927">
        <v>2023</v>
      </c>
    </row>
    <row r="2928" spans="1:9" x14ac:dyDescent="0.3">
      <c r="A2928">
        <v>177323966</v>
      </c>
      <c r="B2928" s="1">
        <v>45159</v>
      </c>
      <c r="C2928" s="1">
        <v>45166</v>
      </c>
      <c r="D2928" t="s">
        <v>7</v>
      </c>
      <c r="E2928">
        <v>39</v>
      </c>
      <c r="F2928" t="s">
        <v>6</v>
      </c>
      <c r="G2928" s="19">
        <v>7</v>
      </c>
      <c r="H2928" t="s">
        <v>61</v>
      </c>
      <c r="I2928">
        <v>2023</v>
      </c>
    </row>
    <row r="2929" spans="1:9" x14ac:dyDescent="0.3">
      <c r="A2929">
        <v>214682826</v>
      </c>
      <c r="B2929" s="1">
        <v>45159</v>
      </c>
      <c r="C2929" s="1">
        <v>45160</v>
      </c>
      <c r="D2929" t="s">
        <v>7</v>
      </c>
      <c r="E2929">
        <v>39</v>
      </c>
      <c r="F2929" t="s">
        <v>6</v>
      </c>
      <c r="G2929" s="19">
        <v>1</v>
      </c>
      <c r="H2929" t="s">
        <v>61</v>
      </c>
      <c r="I2929">
        <v>2023</v>
      </c>
    </row>
    <row r="2930" spans="1:9" x14ac:dyDescent="0.3">
      <c r="A2930">
        <v>220414820</v>
      </c>
      <c r="B2930" s="1">
        <v>45160</v>
      </c>
      <c r="D2930" t="s">
        <v>7</v>
      </c>
      <c r="E2930">
        <v>39</v>
      </c>
      <c r="F2930" t="s">
        <v>6</v>
      </c>
      <c r="H2930" t="s">
        <v>62</v>
      </c>
      <c r="I2930">
        <v>2023</v>
      </c>
    </row>
    <row r="2931" spans="1:9" x14ac:dyDescent="0.3">
      <c r="A2931">
        <v>214682826</v>
      </c>
      <c r="B2931" s="1">
        <v>45160</v>
      </c>
      <c r="D2931" t="s">
        <v>7</v>
      </c>
      <c r="E2931">
        <v>39</v>
      </c>
      <c r="F2931" t="s">
        <v>6</v>
      </c>
      <c r="H2931" t="s">
        <v>62</v>
      </c>
      <c r="I2931">
        <v>2023</v>
      </c>
    </row>
    <row r="2932" spans="1:9" x14ac:dyDescent="0.3">
      <c r="A2932">
        <v>206147500</v>
      </c>
      <c r="B2932" s="1">
        <v>45160</v>
      </c>
      <c r="D2932" t="s">
        <v>7</v>
      </c>
      <c r="E2932">
        <v>39</v>
      </c>
      <c r="F2932" t="s">
        <v>6</v>
      </c>
      <c r="H2932" t="s">
        <v>62</v>
      </c>
      <c r="I2932">
        <v>2023</v>
      </c>
    </row>
    <row r="2933" spans="1:9" x14ac:dyDescent="0.3">
      <c r="A2933">
        <v>220402308</v>
      </c>
      <c r="B2933" s="1">
        <v>45160</v>
      </c>
      <c r="D2933" t="s">
        <v>7</v>
      </c>
      <c r="E2933">
        <v>39</v>
      </c>
      <c r="F2933" t="s">
        <v>6</v>
      </c>
      <c r="H2933" t="s">
        <v>62</v>
      </c>
      <c r="I2933">
        <v>2023</v>
      </c>
    </row>
    <row r="2934" spans="1:9" x14ac:dyDescent="0.3">
      <c r="A2934">
        <v>220205806</v>
      </c>
      <c r="B2934" s="1">
        <v>45160</v>
      </c>
      <c r="D2934" t="s">
        <v>7</v>
      </c>
      <c r="E2934">
        <v>39</v>
      </c>
      <c r="F2934" t="s">
        <v>6</v>
      </c>
      <c r="H2934" t="s">
        <v>62</v>
      </c>
      <c r="I2934">
        <v>2023</v>
      </c>
    </row>
    <row r="2935" spans="1:9" x14ac:dyDescent="0.3">
      <c r="A2935">
        <v>152792045</v>
      </c>
      <c r="B2935" s="1">
        <v>45160</v>
      </c>
      <c r="D2935" t="s">
        <v>7</v>
      </c>
      <c r="E2935">
        <v>39</v>
      </c>
      <c r="F2935" t="s">
        <v>6</v>
      </c>
      <c r="H2935" t="s">
        <v>62</v>
      </c>
      <c r="I2935">
        <v>2023</v>
      </c>
    </row>
    <row r="2936" spans="1:9" x14ac:dyDescent="0.3">
      <c r="A2936">
        <v>220381016</v>
      </c>
      <c r="B2936" s="1">
        <v>45160</v>
      </c>
      <c r="D2936" t="s">
        <v>7</v>
      </c>
      <c r="E2936">
        <v>39</v>
      </c>
      <c r="F2936" t="s">
        <v>6</v>
      </c>
      <c r="H2936" t="s">
        <v>62</v>
      </c>
      <c r="I2936">
        <v>2023</v>
      </c>
    </row>
    <row r="2937" spans="1:9" x14ac:dyDescent="0.3">
      <c r="A2937">
        <v>220385078</v>
      </c>
      <c r="B2937" s="1">
        <v>45160</v>
      </c>
      <c r="D2937" t="s">
        <v>7</v>
      </c>
      <c r="E2937">
        <v>39</v>
      </c>
      <c r="F2937" t="s">
        <v>6</v>
      </c>
      <c r="H2937" t="s">
        <v>62</v>
      </c>
      <c r="I2937">
        <v>2023</v>
      </c>
    </row>
    <row r="2938" spans="1:9" x14ac:dyDescent="0.3">
      <c r="A2938">
        <v>220414853</v>
      </c>
      <c r="B2938" s="1">
        <v>45160</v>
      </c>
      <c r="D2938" t="s">
        <v>7</v>
      </c>
      <c r="E2938">
        <v>39</v>
      </c>
      <c r="F2938" t="s">
        <v>6</v>
      </c>
      <c r="H2938" t="s">
        <v>62</v>
      </c>
      <c r="I2938">
        <v>2023</v>
      </c>
    </row>
    <row r="2939" spans="1:9" x14ac:dyDescent="0.3">
      <c r="A2939">
        <v>220366524</v>
      </c>
      <c r="B2939" s="1">
        <v>45160</v>
      </c>
      <c r="D2939" t="s">
        <v>7</v>
      </c>
      <c r="E2939">
        <v>39</v>
      </c>
      <c r="F2939" t="s">
        <v>6</v>
      </c>
      <c r="H2939" t="s">
        <v>62</v>
      </c>
      <c r="I2939">
        <v>2023</v>
      </c>
    </row>
    <row r="2940" spans="1:9" x14ac:dyDescent="0.3">
      <c r="A2940">
        <v>220407436</v>
      </c>
      <c r="B2940" s="1">
        <v>45160</v>
      </c>
      <c r="C2940" s="1">
        <v>45161</v>
      </c>
      <c r="D2940" t="s">
        <v>8</v>
      </c>
      <c r="E2940">
        <v>39</v>
      </c>
      <c r="F2940" t="s">
        <v>6</v>
      </c>
      <c r="G2940" s="19">
        <v>1</v>
      </c>
      <c r="H2940" t="s">
        <v>62</v>
      </c>
      <c r="I2940">
        <v>2023</v>
      </c>
    </row>
    <row r="2941" spans="1:9" x14ac:dyDescent="0.3">
      <c r="A2941">
        <v>192182455</v>
      </c>
      <c r="B2941" s="1">
        <v>45161</v>
      </c>
      <c r="D2941" t="s">
        <v>7</v>
      </c>
      <c r="E2941">
        <v>39</v>
      </c>
      <c r="F2941" t="s">
        <v>6</v>
      </c>
      <c r="H2941" t="s">
        <v>63</v>
      </c>
      <c r="I2941">
        <v>2023</v>
      </c>
    </row>
    <row r="2942" spans="1:9" x14ac:dyDescent="0.3">
      <c r="A2942">
        <v>219439597</v>
      </c>
      <c r="B2942" s="1">
        <v>45161</v>
      </c>
      <c r="D2942" t="s">
        <v>7</v>
      </c>
      <c r="E2942">
        <v>39</v>
      </c>
      <c r="F2942" t="s">
        <v>6</v>
      </c>
      <c r="H2942" t="s">
        <v>63</v>
      </c>
      <c r="I2942">
        <v>2023</v>
      </c>
    </row>
    <row r="2943" spans="1:9" x14ac:dyDescent="0.3">
      <c r="A2943">
        <v>219576812</v>
      </c>
      <c r="B2943" s="1">
        <v>45161</v>
      </c>
      <c r="D2943" t="s">
        <v>7</v>
      </c>
      <c r="E2943">
        <v>39</v>
      </c>
      <c r="F2943" t="s">
        <v>6</v>
      </c>
      <c r="H2943" t="s">
        <v>63</v>
      </c>
      <c r="I2943">
        <v>2023</v>
      </c>
    </row>
    <row r="2944" spans="1:9" x14ac:dyDescent="0.3">
      <c r="A2944">
        <v>143111905</v>
      </c>
      <c r="B2944" s="1">
        <v>45161</v>
      </c>
      <c r="D2944" t="s">
        <v>7</v>
      </c>
      <c r="E2944">
        <v>39</v>
      </c>
      <c r="F2944" t="s">
        <v>6</v>
      </c>
      <c r="H2944" t="s">
        <v>63</v>
      </c>
      <c r="I2944">
        <v>2023</v>
      </c>
    </row>
    <row r="2945" spans="1:9" x14ac:dyDescent="0.3">
      <c r="A2945">
        <v>123297208</v>
      </c>
      <c r="B2945" s="1">
        <v>45161</v>
      </c>
      <c r="D2945" t="s">
        <v>7</v>
      </c>
      <c r="E2945">
        <v>39</v>
      </c>
      <c r="F2945" t="s">
        <v>6</v>
      </c>
      <c r="H2945" t="s">
        <v>63</v>
      </c>
      <c r="I2945">
        <v>2023</v>
      </c>
    </row>
    <row r="2946" spans="1:9" x14ac:dyDescent="0.3">
      <c r="A2946">
        <v>213194584</v>
      </c>
      <c r="B2946" s="1">
        <v>45161</v>
      </c>
      <c r="D2946" t="s">
        <v>7</v>
      </c>
      <c r="E2946">
        <v>39</v>
      </c>
      <c r="F2946" t="s">
        <v>6</v>
      </c>
      <c r="H2946" t="s">
        <v>63</v>
      </c>
      <c r="I2946">
        <v>2023</v>
      </c>
    </row>
    <row r="2947" spans="1:9" x14ac:dyDescent="0.3">
      <c r="A2947">
        <v>220455205</v>
      </c>
      <c r="B2947" s="1">
        <v>45161</v>
      </c>
      <c r="D2947" t="s">
        <v>7</v>
      </c>
      <c r="E2947">
        <v>39</v>
      </c>
      <c r="F2947" t="s">
        <v>6</v>
      </c>
      <c r="H2947" t="s">
        <v>63</v>
      </c>
      <c r="I2947">
        <v>2023</v>
      </c>
    </row>
    <row r="2948" spans="1:9" x14ac:dyDescent="0.3">
      <c r="A2948">
        <v>220425056</v>
      </c>
      <c r="B2948" s="1">
        <v>45161</v>
      </c>
      <c r="D2948" t="s">
        <v>7</v>
      </c>
      <c r="E2948">
        <v>39</v>
      </c>
      <c r="F2948" t="s">
        <v>6</v>
      </c>
      <c r="H2948" t="s">
        <v>63</v>
      </c>
      <c r="I2948">
        <v>2023</v>
      </c>
    </row>
    <row r="2949" spans="1:9" x14ac:dyDescent="0.3">
      <c r="A2949">
        <v>219685108</v>
      </c>
      <c r="B2949" s="1">
        <v>45161</v>
      </c>
      <c r="D2949" t="s">
        <v>7</v>
      </c>
      <c r="E2949">
        <v>39</v>
      </c>
      <c r="F2949" t="s">
        <v>6</v>
      </c>
      <c r="H2949" t="s">
        <v>63</v>
      </c>
      <c r="I2949">
        <v>2023</v>
      </c>
    </row>
    <row r="2950" spans="1:9" x14ac:dyDescent="0.3">
      <c r="A2950">
        <v>220531090</v>
      </c>
      <c r="B2950" s="1">
        <v>45162</v>
      </c>
      <c r="D2950" t="s">
        <v>7</v>
      </c>
      <c r="E2950">
        <v>39</v>
      </c>
      <c r="F2950" t="s">
        <v>6</v>
      </c>
      <c r="H2950" t="s">
        <v>64</v>
      </c>
      <c r="I2950">
        <v>2023</v>
      </c>
    </row>
    <row r="2951" spans="1:9" x14ac:dyDescent="0.3">
      <c r="A2951">
        <v>220510482</v>
      </c>
      <c r="B2951" s="1">
        <v>45162</v>
      </c>
      <c r="D2951" t="s">
        <v>7</v>
      </c>
      <c r="E2951">
        <v>39</v>
      </c>
      <c r="F2951" t="s">
        <v>6</v>
      </c>
      <c r="H2951" t="s">
        <v>64</v>
      </c>
      <c r="I2951">
        <v>2023</v>
      </c>
    </row>
    <row r="2952" spans="1:9" x14ac:dyDescent="0.3">
      <c r="A2952">
        <v>149856123</v>
      </c>
      <c r="B2952" s="1">
        <v>45162</v>
      </c>
      <c r="D2952" t="s">
        <v>7</v>
      </c>
      <c r="E2952">
        <v>39</v>
      </c>
      <c r="F2952" t="s">
        <v>6</v>
      </c>
      <c r="H2952" t="s">
        <v>64</v>
      </c>
      <c r="I2952">
        <v>2023</v>
      </c>
    </row>
    <row r="2953" spans="1:9" x14ac:dyDescent="0.3">
      <c r="A2953">
        <v>217506938</v>
      </c>
      <c r="B2953" s="1">
        <v>45162</v>
      </c>
      <c r="D2953" t="s">
        <v>7</v>
      </c>
      <c r="E2953">
        <v>39</v>
      </c>
      <c r="F2953" t="s">
        <v>6</v>
      </c>
      <c r="H2953" t="s">
        <v>64</v>
      </c>
      <c r="I2953">
        <v>2023</v>
      </c>
    </row>
    <row r="2954" spans="1:9" x14ac:dyDescent="0.3">
      <c r="A2954">
        <v>189403535</v>
      </c>
      <c r="B2954" s="1">
        <v>45162</v>
      </c>
      <c r="D2954" t="s">
        <v>7</v>
      </c>
      <c r="E2954">
        <v>39</v>
      </c>
      <c r="F2954" t="s">
        <v>6</v>
      </c>
      <c r="H2954" t="s">
        <v>64</v>
      </c>
      <c r="I2954">
        <v>2023</v>
      </c>
    </row>
    <row r="2955" spans="1:9" x14ac:dyDescent="0.3">
      <c r="A2955">
        <v>132318451</v>
      </c>
      <c r="B2955" s="1">
        <v>45162</v>
      </c>
      <c r="C2955" s="1">
        <v>45163</v>
      </c>
      <c r="D2955" t="s">
        <v>7</v>
      </c>
      <c r="E2955">
        <v>39</v>
      </c>
      <c r="F2955" t="s">
        <v>6</v>
      </c>
      <c r="G2955" s="19">
        <v>1</v>
      </c>
      <c r="H2955" t="s">
        <v>64</v>
      </c>
      <c r="I2955">
        <v>2023</v>
      </c>
    </row>
    <row r="2956" spans="1:9" x14ac:dyDescent="0.3">
      <c r="A2956">
        <v>220495479</v>
      </c>
      <c r="B2956" s="1">
        <v>45162</v>
      </c>
      <c r="C2956" s="1">
        <v>45163</v>
      </c>
      <c r="D2956" t="s">
        <v>8</v>
      </c>
      <c r="E2956">
        <v>39</v>
      </c>
      <c r="F2956" t="s">
        <v>6</v>
      </c>
      <c r="G2956" s="19">
        <v>1</v>
      </c>
      <c r="H2956" t="s">
        <v>64</v>
      </c>
      <c r="I2956">
        <v>2023</v>
      </c>
    </row>
    <row r="2957" spans="1:9" x14ac:dyDescent="0.3">
      <c r="A2957">
        <v>164903790</v>
      </c>
      <c r="B2957" s="1">
        <v>45163</v>
      </c>
      <c r="D2957" t="s">
        <v>7</v>
      </c>
      <c r="E2957">
        <v>39</v>
      </c>
      <c r="F2957" t="s">
        <v>6</v>
      </c>
      <c r="H2957" t="s">
        <v>65</v>
      </c>
      <c r="I2957">
        <v>2023</v>
      </c>
    </row>
    <row r="2958" spans="1:9" x14ac:dyDescent="0.3">
      <c r="A2958">
        <v>220371835</v>
      </c>
      <c r="B2958" s="1">
        <v>45163</v>
      </c>
      <c r="D2958" t="s">
        <v>7</v>
      </c>
      <c r="E2958">
        <v>39</v>
      </c>
      <c r="F2958" t="s">
        <v>6</v>
      </c>
      <c r="H2958" t="s">
        <v>65</v>
      </c>
      <c r="I2958">
        <v>2023</v>
      </c>
    </row>
    <row r="2959" spans="1:9" x14ac:dyDescent="0.3">
      <c r="A2959">
        <v>125932988</v>
      </c>
      <c r="B2959" s="1">
        <v>45163</v>
      </c>
      <c r="D2959" t="s">
        <v>7</v>
      </c>
      <c r="E2959">
        <v>39</v>
      </c>
      <c r="F2959" t="s">
        <v>6</v>
      </c>
      <c r="H2959" t="s">
        <v>65</v>
      </c>
      <c r="I2959">
        <v>2023</v>
      </c>
    </row>
    <row r="2960" spans="1:9" x14ac:dyDescent="0.3">
      <c r="A2960">
        <v>214924190</v>
      </c>
      <c r="B2960" s="1">
        <v>45163</v>
      </c>
      <c r="D2960" t="s">
        <v>7</v>
      </c>
      <c r="E2960">
        <v>39</v>
      </c>
      <c r="F2960" t="s">
        <v>6</v>
      </c>
      <c r="H2960" t="s">
        <v>65</v>
      </c>
      <c r="I2960">
        <v>2023</v>
      </c>
    </row>
    <row r="2961" spans="1:9" x14ac:dyDescent="0.3">
      <c r="A2961">
        <v>117300170</v>
      </c>
      <c r="B2961" s="1">
        <v>45163</v>
      </c>
      <c r="D2961" t="s">
        <v>7</v>
      </c>
      <c r="E2961">
        <v>39</v>
      </c>
      <c r="F2961" t="s">
        <v>6</v>
      </c>
      <c r="H2961" t="s">
        <v>65</v>
      </c>
      <c r="I2961">
        <v>2023</v>
      </c>
    </row>
    <row r="2962" spans="1:9" x14ac:dyDescent="0.3">
      <c r="A2962">
        <v>162913792</v>
      </c>
      <c r="B2962" s="1">
        <v>45163</v>
      </c>
      <c r="D2962" t="s">
        <v>7</v>
      </c>
      <c r="E2962">
        <v>39</v>
      </c>
      <c r="F2962" t="s">
        <v>6</v>
      </c>
      <c r="H2962" t="s">
        <v>65</v>
      </c>
      <c r="I2962">
        <v>2023</v>
      </c>
    </row>
    <row r="2963" spans="1:9" x14ac:dyDescent="0.3">
      <c r="A2963">
        <v>220551506</v>
      </c>
      <c r="B2963" s="1">
        <v>45163</v>
      </c>
      <c r="D2963" t="s">
        <v>7</v>
      </c>
      <c r="E2963">
        <v>39</v>
      </c>
      <c r="F2963" t="s">
        <v>6</v>
      </c>
      <c r="H2963" t="s">
        <v>65</v>
      </c>
      <c r="I2963">
        <v>2023</v>
      </c>
    </row>
    <row r="2964" spans="1:9" x14ac:dyDescent="0.3">
      <c r="A2964">
        <v>161187523</v>
      </c>
      <c r="B2964" s="1">
        <v>45163</v>
      </c>
      <c r="D2964" t="s">
        <v>7</v>
      </c>
      <c r="E2964">
        <v>39</v>
      </c>
      <c r="F2964" t="s">
        <v>6</v>
      </c>
      <c r="H2964" t="s">
        <v>65</v>
      </c>
      <c r="I2964">
        <v>2023</v>
      </c>
    </row>
    <row r="2965" spans="1:9" x14ac:dyDescent="0.3">
      <c r="A2965">
        <v>220562110</v>
      </c>
      <c r="B2965" s="1">
        <v>45163</v>
      </c>
      <c r="C2965" s="1">
        <v>45164</v>
      </c>
      <c r="D2965" t="s">
        <v>8</v>
      </c>
      <c r="E2965">
        <v>39</v>
      </c>
      <c r="F2965" t="s">
        <v>6</v>
      </c>
      <c r="G2965" s="19">
        <v>1</v>
      </c>
      <c r="H2965" t="s">
        <v>65</v>
      </c>
      <c r="I2965">
        <v>2023</v>
      </c>
    </row>
    <row r="2966" spans="1:9" x14ac:dyDescent="0.3">
      <c r="A2966">
        <v>220589305</v>
      </c>
      <c r="B2966" s="1">
        <v>45164</v>
      </c>
      <c r="D2966" t="s">
        <v>7</v>
      </c>
      <c r="E2966">
        <v>39</v>
      </c>
      <c r="F2966" t="s">
        <v>6</v>
      </c>
      <c r="H2966" t="s">
        <v>66</v>
      </c>
      <c r="I2966">
        <v>2023</v>
      </c>
    </row>
    <row r="2967" spans="1:9" x14ac:dyDescent="0.3">
      <c r="A2967">
        <v>220496139</v>
      </c>
      <c r="B2967" s="1">
        <v>45164</v>
      </c>
      <c r="D2967" t="s">
        <v>7</v>
      </c>
      <c r="E2967">
        <v>39</v>
      </c>
      <c r="F2967" t="s">
        <v>6</v>
      </c>
      <c r="H2967" t="s">
        <v>66</v>
      </c>
      <c r="I2967">
        <v>2023</v>
      </c>
    </row>
    <row r="2968" spans="1:9" x14ac:dyDescent="0.3">
      <c r="A2968">
        <v>219211334</v>
      </c>
      <c r="B2968" s="1">
        <v>45164</v>
      </c>
      <c r="D2968" t="s">
        <v>7</v>
      </c>
      <c r="E2968">
        <v>39</v>
      </c>
      <c r="F2968" t="s">
        <v>6</v>
      </c>
      <c r="H2968" t="s">
        <v>66</v>
      </c>
      <c r="I2968">
        <v>2023</v>
      </c>
    </row>
    <row r="2969" spans="1:9" x14ac:dyDescent="0.3">
      <c r="A2969">
        <v>220582817</v>
      </c>
      <c r="B2969" s="1">
        <v>45164</v>
      </c>
      <c r="D2969" t="s">
        <v>7</v>
      </c>
      <c r="E2969">
        <v>39</v>
      </c>
      <c r="F2969" t="s">
        <v>6</v>
      </c>
      <c r="H2969" t="s">
        <v>66</v>
      </c>
      <c r="I2969">
        <v>2023</v>
      </c>
    </row>
    <row r="2970" spans="1:9" x14ac:dyDescent="0.3">
      <c r="A2970">
        <v>217513777</v>
      </c>
      <c r="B2970" s="1">
        <v>45164</v>
      </c>
      <c r="C2970" s="1">
        <v>45166</v>
      </c>
      <c r="D2970" t="s">
        <v>7</v>
      </c>
      <c r="E2970">
        <v>39</v>
      </c>
      <c r="F2970" t="s">
        <v>6</v>
      </c>
      <c r="G2970" s="19">
        <v>2</v>
      </c>
      <c r="H2970" t="s">
        <v>66</v>
      </c>
      <c r="I2970">
        <v>2023</v>
      </c>
    </row>
    <row r="2971" spans="1:9" x14ac:dyDescent="0.3">
      <c r="A2971">
        <v>220576148</v>
      </c>
      <c r="B2971" s="1">
        <v>45164</v>
      </c>
      <c r="C2971" s="1">
        <v>45174</v>
      </c>
      <c r="D2971" t="s">
        <v>7</v>
      </c>
      <c r="E2971">
        <v>39</v>
      </c>
      <c r="F2971" t="s">
        <v>6</v>
      </c>
      <c r="G2971" s="19">
        <v>10</v>
      </c>
      <c r="H2971" t="s">
        <v>66</v>
      </c>
      <c r="I2971">
        <v>2023</v>
      </c>
    </row>
    <row r="2972" spans="1:9" x14ac:dyDescent="0.3">
      <c r="A2972">
        <v>219294264</v>
      </c>
      <c r="B2972" s="1">
        <v>45165</v>
      </c>
      <c r="D2972" t="s">
        <v>7</v>
      </c>
      <c r="E2972">
        <v>39</v>
      </c>
      <c r="F2972" t="s">
        <v>6</v>
      </c>
      <c r="H2972" t="s">
        <v>60</v>
      </c>
      <c r="I2972">
        <v>2023</v>
      </c>
    </row>
    <row r="2973" spans="1:9" x14ac:dyDescent="0.3">
      <c r="A2973">
        <v>220617197</v>
      </c>
      <c r="B2973" s="1">
        <v>45165</v>
      </c>
      <c r="D2973" t="s">
        <v>7</v>
      </c>
      <c r="E2973">
        <v>39</v>
      </c>
      <c r="F2973" t="s">
        <v>6</v>
      </c>
      <c r="H2973" t="s">
        <v>60</v>
      </c>
      <c r="I2973">
        <v>2023</v>
      </c>
    </row>
    <row r="2974" spans="1:9" x14ac:dyDescent="0.3">
      <c r="A2974">
        <v>220227691</v>
      </c>
      <c r="B2974" s="1">
        <v>45165</v>
      </c>
      <c r="D2974" t="s">
        <v>7</v>
      </c>
      <c r="E2974">
        <v>39</v>
      </c>
      <c r="F2974" t="s">
        <v>6</v>
      </c>
      <c r="H2974" t="s">
        <v>60</v>
      </c>
      <c r="I2974">
        <v>2023</v>
      </c>
    </row>
    <row r="2975" spans="1:9" x14ac:dyDescent="0.3">
      <c r="A2975">
        <v>220672607</v>
      </c>
      <c r="B2975" s="1">
        <v>45166</v>
      </c>
      <c r="D2975" t="s">
        <v>7</v>
      </c>
      <c r="E2975">
        <v>39</v>
      </c>
      <c r="F2975" t="s">
        <v>6</v>
      </c>
      <c r="H2975" t="s">
        <v>61</v>
      </c>
      <c r="I2975">
        <v>2023</v>
      </c>
    </row>
    <row r="2976" spans="1:9" x14ac:dyDescent="0.3">
      <c r="A2976">
        <v>218608353</v>
      </c>
      <c r="B2976" s="1">
        <v>45166</v>
      </c>
      <c r="D2976" t="s">
        <v>7</v>
      </c>
      <c r="E2976">
        <v>39</v>
      </c>
      <c r="F2976" t="s">
        <v>6</v>
      </c>
      <c r="H2976" t="s">
        <v>61</v>
      </c>
      <c r="I2976">
        <v>2023</v>
      </c>
    </row>
    <row r="2977" spans="1:9" x14ac:dyDescent="0.3">
      <c r="A2977">
        <v>135128238</v>
      </c>
      <c r="B2977" s="1">
        <v>45166</v>
      </c>
      <c r="D2977" t="s">
        <v>7</v>
      </c>
      <c r="E2977">
        <v>39</v>
      </c>
      <c r="F2977" t="s">
        <v>6</v>
      </c>
      <c r="H2977" t="s">
        <v>61</v>
      </c>
      <c r="I2977">
        <v>2023</v>
      </c>
    </row>
    <row r="2978" spans="1:9" x14ac:dyDescent="0.3">
      <c r="A2978">
        <v>220285147</v>
      </c>
      <c r="B2978" s="1">
        <v>45166</v>
      </c>
      <c r="D2978" t="s">
        <v>7</v>
      </c>
      <c r="E2978">
        <v>39</v>
      </c>
      <c r="F2978" t="s">
        <v>6</v>
      </c>
      <c r="H2978" t="s">
        <v>61</v>
      </c>
      <c r="I2978">
        <v>2023</v>
      </c>
    </row>
    <row r="2979" spans="1:9" x14ac:dyDescent="0.3">
      <c r="A2979">
        <v>218645057</v>
      </c>
      <c r="B2979" s="1">
        <v>45166</v>
      </c>
      <c r="D2979" t="s">
        <v>7</v>
      </c>
      <c r="E2979">
        <v>39</v>
      </c>
      <c r="F2979" t="s">
        <v>6</v>
      </c>
      <c r="H2979" t="s">
        <v>61</v>
      </c>
      <c r="I2979">
        <v>2023</v>
      </c>
    </row>
    <row r="2980" spans="1:9" x14ac:dyDescent="0.3">
      <c r="A2980">
        <v>128199550</v>
      </c>
      <c r="B2980" s="1">
        <v>45166</v>
      </c>
      <c r="C2980" s="1">
        <v>45169</v>
      </c>
      <c r="D2980" t="s">
        <v>7</v>
      </c>
      <c r="E2980">
        <v>39</v>
      </c>
      <c r="F2980" t="s">
        <v>6</v>
      </c>
      <c r="G2980" s="19">
        <v>3</v>
      </c>
      <c r="H2980" t="s">
        <v>61</v>
      </c>
      <c r="I2980">
        <v>2023</v>
      </c>
    </row>
    <row r="2981" spans="1:9" x14ac:dyDescent="0.3">
      <c r="A2981">
        <v>220747618</v>
      </c>
      <c r="B2981" s="1">
        <v>45167</v>
      </c>
      <c r="D2981" t="s">
        <v>7</v>
      </c>
      <c r="E2981">
        <v>39</v>
      </c>
      <c r="F2981" t="s">
        <v>6</v>
      </c>
      <c r="H2981" t="s">
        <v>62</v>
      </c>
      <c r="I2981">
        <v>2023</v>
      </c>
    </row>
    <row r="2982" spans="1:9" x14ac:dyDescent="0.3">
      <c r="A2982">
        <v>207386830</v>
      </c>
      <c r="B2982" s="1">
        <v>45167</v>
      </c>
      <c r="D2982" t="s">
        <v>7</v>
      </c>
      <c r="E2982">
        <v>39</v>
      </c>
      <c r="F2982" t="s">
        <v>6</v>
      </c>
      <c r="H2982" t="s">
        <v>62</v>
      </c>
      <c r="I2982">
        <v>2023</v>
      </c>
    </row>
    <row r="2983" spans="1:9" x14ac:dyDescent="0.3">
      <c r="A2983">
        <v>205109812</v>
      </c>
      <c r="B2983" s="1">
        <v>45167</v>
      </c>
      <c r="D2983" t="s">
        <v>7</v>
      </c>
      <c r="E2983">
        <v>39</v>
      </c>
      <c r="F2983" t="s">
        <v>6</v>
      </c>
      <c r="H2983" t="s">
        <v>62</v>
      </c>
      <c r="I2983">
        <v>2023</v>
      </c>
    </row>
    <row r="2984" spans="1:9" x14ac:dyDescent="0.3">
      <c r="A2984">
        <v>132318451</v>
      </c>
      <c r="B2984" s="1">
        <v>45167</v>
      </c>
      <c r="D2984" t="s">
        <v>7</v>
      </c>
      <c r="E2984">
        <v>39</v>
      </c>
      <c r="F2984" t="s">
        <v>6</v>
      </c>
      <c r="H2984" t="s">
        <v>62</v>
      </c>
      <c r="I2984">
        <v>2023</v>
      </c>
    </row>
    <row r="2985" spans="1:9" x14ac:dyDescent="0.3">
      <c r="A2985">
        <v>218596318</v>
      </c>
      <c r="B2985" s="1">
        <v>45167</v>
      </c>
      <c r="D2985" t="s">
        <v>7</v>
      </c>
      <c r="E2985">
        <v>39</v>
      </c>
      <c r="F2985" t="s">
        <v>6</v>
      </c>
      <c r="H2985" t="s">
        <v>62</v>
      </c>
      <c r="I2985">
        <v>2023</v>
      </c>
    </row>
    <row r="2986" spans="1:9" x14ac:dyDescent="0.3">
      <c r="A2986">
        <v>220699520</v>
      </c>
      <c r="B2986" s="1">
        <v>45167</v>
      </c>
      <c r="D2986" t="s">
        <v>7</v>
      </c>
      <c r="E2986">
        <v>39</v>
      </c>
      <c r="F2986" t="s">
        <v>6</v>
      </c>
      <c r="H2986" t="s">
        <v>62</v>
      </c>
      <c r="I2986">
        <v>2023</v>
      </c>
    </row>
    <row r="2987" spans="1:9" x14ac:dyDescent="0.3">
      <c r="A2987">
        <v>218307579</v>
      </c>
      <c r="B2987" s="1">
        <v>45167</v>
      </c>
      <c r="D2987" t="s">
        <v>7</v>
      </c>
      <c r="E2987">
        <v>39</v>
      </c>
      <c r="F2987" t="s">
        <v>6</v>
      </c>
      <c r="H2987" t="s">
        <v>62</v>
      </c>
      <c r="I2987">
        <v>2023</v>
      </c>
    </row>
    <row r="2988" spans="1:9" x14ac:dyDescent="0.3">
      <c r="A2988">
        <v>218514844</v>
      </c>
      <c r="B2988" s="1">
        <v>45168</v>
      </c>
      <c r="D2988" t="s">
        <v>7</v>
      </c>
      <c r="E2988">
        <v>39</v>
      </c>
      <c r="F2988" t="s">
        <v>6</v>
      </c>
      <c r="H2988" t="s">
        <v>63</v>
      </c>
      <c r="I2988">
        <v>2023</v>
      </c>
    </row>
    <row r="2989" spans="1:9" x14ac:dyDescent="0.3">
      <c r="A2989">
        <v>188622328</v>
      </c>
      <c r="B2989" s="1">
        <v>45168</v>
      </c>
      <c r="D2989" t="s">
        <v>7</v>
      </c>
      <c r="E2989">
        <v>39</v>
      </c>
      <c r="F2989" t="s">
        <v>6</v>
      </c>
      <c r="H2989" t="s">
        <v>63</v>
      </c>
      <c r="I2989">
        <v>2023</v>
      </c>
    </row>
    <row r="2990" spans="1:9" x14ac:dyDescent="0.3">
      <c r="A2990">
        <v>220790640</v>
      </c>
      <c r="B2990" s="1">
        <v>45168</v>
      </c>
      <c r="D2990" t="s">
        <v>7</v>
      </c>
      <c r="E2990">
        <v>39</v>
      </c>
      <c r="F2990" t="s">
        <v>6</v>
      </c>
      <c r="H2990" t="s">
        <v>63</v>
      </c>
      <c r="I2990">
        <v>2023</v>
      </c>
    </row>
    <row r="2991" spans="1:9" x14ac:dyDescent="0.3">
      <c r="A2991">
        <v>220675005</v>
      </c>
      <c r="B2991" s="1">
        <v>45168</v>
      </c>
      <c r="D2991" t="s">
        <v>7</v>
      </c>
      <c r="E2991">
        <v>39</v>
      </c>
      <c r="F2991" t="s">
        <v>6</v>
      </c>
      <c r="H2991" t="s">
        <v>63</v>
      </c>
      <c r="I2991">
        <v>2023</v>
      </c>
    </row>
    <row r="2992" spans="1:9" x14ac:dyDescent="0.3">
      <c r="A2992">
        <v>142757196</v>
      </c>
      <c r="B2992" s="1">
        <v>45168</v>
      </c>
      <c r="D2992" t="s">
        <v>7</v>
      </c>
      <c r="E2992">
        <v>39</v>
      </c>
      <c r="F2992" t="s">
        <v>6</v>
      </c>
      <c r="H2992" t="s">
        <v>63</v>
      </c>
      <c r="I2992">
        <v>2023</v>
      </c>
    </row>
    <row r="2993" spans="1:9" x14ac:dyDescent="0.3">
      <c r="A2993">
        <v>220411940</v>
      </c>
      <c r="B2993" s="1">
        <v>45168</v>
      </c>
      <c r="D2993" t="s">
        <v>7</v>
      </c>
      <c r="E2993">
        <v>39</v>
      </c>
      <c r="F2993" t="s">
        <v>6</v>
      </c>
      <c r="H2993" t="s">
        <v>63</v>
      </c>
      <c r="I2993">
        <v>2023</v>
      </c>
    </row>
    <row r="2994" spans="1:9" x14ac:dyDescent="0.3">
      <c r="A2994">
        <v>155613371</v>
      </c>
      <c r="B2994" s="1">
        <v>45168</v>
      </c>
      <c r="D2994" t="s">
        <v>7</v>
      </c>
      <c r="E2994">
        <v>39</v>
      </c>
      <c r="F2994" t="s">
        <v>6</v>
      </c>
      <c r="H2994" t="s">
        <v>63</v>
      </c>
      <c r="I2994">
        <v>2023</v>
      </c>
    </row>
    <row r="2995" spans="1:9" x14ac:dyDescent="0.3">
      <c r="A2995">
        <v>164548755</v>
      </c>
      <c r="B2995" s="1">
        <v>45168</v>
      </c>
      <c r="D2995" t="s">
        <v>7</v>
      </c>
      <c r="E2995">
        <v>39</v>
      </c>
      <c r="F2995" t="s">
        <v>6</v>
      </c>
      <c r="H2995" t="s">
        <v>63</v>
      </c>
      <c r="I2995">
        <v>2023</v>
      </c>
    </row>
    <row r="2996" spans="1:9" x14ac:dyDescent="0.3">
      <c r="A2996">
        <v>220546810</v>
      </c>
      <c r="B2996" s="1">
        <v>45168</v>
      </c>
      <c r="D2996" t="s">
        <v>7</v>
      </c>
      <c r="E2996">
        <v>39</v>
      </c>
      <c r="F2996" t="s">
        <v>6</v>
      </c>
      <c r="H2996" t="s">
        <v>63</v>
      </c>
      <c r="I2996">
        <v>2023</v>
      </c>
    </row>
    <row r="2997" spans="1:9" x14ac:dyDescent="0.3">
      <c r="A2997">
        <v>215202566</v>
      </c>
      <c r="B2997" s="1">
        <v>45168</v>
      </c>
      <c r="C2997" s="1">
        <v>45168</v>
      </c>
      <c r="D2997" t="s">
        <v>7</v>
      </c>
      <c r="E2997">
        <v>39</v>
      </c>
      <c r="F2997" t="s">
        <v>6</v>
      </c>
      <c r="G2997" s="19">
        <v>0</v>
      </c>
      <c r="H2997" t="s">
        <v>63</v>
      </c>
      <c r="I2997">
        <v>2023</v>
      </c>
    </row>
    <row r="2998" spans="1:9" x14ac:dyDescent="0.3">
      <c r="A2998">
        <v>135092264</v>
      </c>
      <c r="B2998" s="1">
        <v>45169</v>
      </c>
      <c r="D2998" t="s">
        <v>7</v>
      </c>
      <c r="E2998">
        <v>39</v>
      </c>
      <c r="F2998" t="s">
        <v>6</v>
      </c>
      <c r="H2998" t="s">
        <v>64</v>
      </c>
      <c r="I2998">
        <v>2023</v>
      </c>
    </row>
    <row r="2999" spans="1:9" x14ac:dyDescent="0.3">
      <c r="A2999">
        <v>220854418</v>
      </c>
      <c r="B2999" s="1">
        <v>45169</v>
      </c>
      <c r="D2999" t="s">
        <v>7</v>
      </c>
      <c r="E2999">
        <v>39</v>
      </c>
      <c r="F2999" t="s">
        <v>6</v>
      </c>
      <c r="H2999" t="s">
        <v>64</v>
      </c>
      <c r="I2999">
        <v>2023</v>
      </c>
    </row>
    <row r="3000" spans="1:9" x14ac:dyDescent="0.3">
      <c r="A3000">
        <v>220851140</v>
      </c>
      <c r="B3000" s="1">
        <v>45169</v>
      </c>
      <c r="D3000" t="s">
        <v>7</v>
      </c>
      <c r="E3000">
        <v>39</v>
      </c>
      <c r="F3000" t="s">
        <v>6</v>
      </c>
      <c r="H3000" t="s">
        <v>64</v>
      </c>
      <c r="I3000">
        <v>2023</v>
      </c>
    </row>
    <row r="3001" spans="1:9" x14ac:dyDescent="0.3">
      <c r="A3001">
        <v>220843911</v>
      </c>
      <c r="B3001" s="1">
        <v>45169</v>
      </c>
      <c r="D3001" t="s">
        <v>7</v>
      </c>
      <c r="E3001">
        <v>39</v>
      </c>
      <c r="F3001" t="s">
        <v>6</v>
      </c>
      <c r="H3001" t="s">
        <v>64</v>
      </c>
      <c r="I3001">
        <v>2023</v>
      </c>
    </row>
    <row r="3002" spans="1:9" x14ac:dyDescent="0.3">
      <c r="A3002">
        <v>216137022</v>
      </c>
      <c r="B3002" s="1">
        <v>45169</v>
      </c>
      <c r="D3002" t="s">
        <v>7</v>
      </c>
      <c r="E3002">
        <v>39</v>
      </c>
      <c r="F3002" t="s">
        <v>6</v>
      </c>
      <c r="H3002" t="s">
        <v>64</v>
      </c>
      <c r="I3002">
        <v>2023</v>
      </c>
    </row>
    <row r="3003" spans="1:9" x14ac:dyDescent="0.3">
      <c r="A3003">
        <v>161151062</v>
      </c>
      <c r="B3003" s="1">
        <v>45169</v>
      </c>
      <c r="D3003" t="s">
        <v>7</v>
      </c>
      <c r="E3003">
        <v>39</v>
      </c>
      <c r="F3003" t="s">
        <v>6</v>
      </c>
      <c r="H3003" t="s">
        <v>64</v>
      </c>
      <c r="I3003">
        <v>2023</v>
      </c>
    </row>
    <row r="3004" spans="1:9" x14ac:dyDescent="0.3">
      <c r="A3004">
        <v>148085880</v>
      </c>
      <c r="B3004" s="1">
        <v>45169</v>
      </c>
      <c r="D3004" t="s">
        <v>7</v>
      </c>
      <c r="E3004">
        <v>39</v>
      </c>
      <c r="F3004" t="s">
        <v>6</v>
      </c>
      <c r="H3004" t="s">
        <v>64</v>
      </c>
      <c r="I3004">
        <v>2023</v>
      </c>
    </row>
    <row r="3005" spans="1:9" x14ac:dyDescent="0.3">
      <c r="A3005">
        <v>182061738</v>
      </c>
      <c r="B3005" s="1">
        <v>45170</v>
      </c>
      <c r="D3005" t="s">
        <v>7</v>
      </c>
      <c r="E3005">
        <v>39</v>
      </c>
      <c r="F3005" t="s">
        <v>6</v>
      </c>
      <c r="H3005" t="s">
        <v>65</v>
      </c>
      <c r="I3005">
        <v>2023</v>
      </c>
    </row>
    <row r="3006" spans="1:9" x14ac:dyDescent="0.3">
      <c r="A3006">
        <v>220860582</v>
      </c>
      <c r="B3006" s="1">
        <v>45170</v>
      </c>
      <c r="D3006" t="s">
        <v>7</v>
      </c>
      <c r="E3006">
        <v>39</v>
      </c>
      <c r="F3006" t="s">
        <v>6</v>
      </c>
      <c r="H3006" t="s">
        <v>65</v>
      </c>
      <c r="I3006">
        <v>2023</v>
      </c>
    </row>
    <row r="3007" spans="1:9" x14ac:dyDescent="0.3">
      <c r="A3007">
        <v>218315334</v>
      </c>
      <c r="B3007" s="1">
        <v>45170</v>
      </c>
      <c r="D3007" t="s">
        <v>7</v>
      </c>
      <c r="E3007">
        <v>39</v>
      </c>
      <c r="F3007" t="s">
        <v>6</v>
      </c>
      <c r="H3007" t="s">
        <v>65</v>
      </c>
      <c r="I3007">
        <v>2023</v>
      </c>
    </row>
    <row r="3008" spans="1:9" x14ac:dyDescent="0.3">
      <c r="A3008">
        <v>217246008</v>
      </c>
      <c r="B3008" s="1">
        <v>45170</v>
      </c>
      <c r="D3008" t="s">
        <v>7</v>
      </c>
      <c r="E3008">
        <v>39</v>
      </c>
      <c r="F3008" t="s">
        <v>6</v>
      </c>
      <c r="H3008" t="s">
        <v>65</v>
      </c>
      <c r="I3008">
        <v>2023</v>
      </c>
    </row>
    <row r="3009" spans="1:9" x14ac:dyDescent="0.3">
      <c r="A3009">
        <v>220835326</v>
      </c>
      <c r="B3009" s="1">
        <v>45170</v>
      </c>
      <c r="D3009" t="s">
        <v>7</v>
      </c>
      <c r="E3009">
        <v>39</v>
      </c>
      <c r="F3009" t="s">
        <v>6</v>
      </c>
      <c r="H3009" t="s">
        <v>65</v>
      </c>
      <c r="I3009">
        <v>2023</v>
      </c>
    </row>
    <row r="3010" spans="1:9" x14ac:dyDescent="0.3">
      <c r="A3010">
        <v>219470485</v>
      </c>
      <c r="B3010" s="1">
        <v>45170</v>
      </c>
      <c r="D3010" t="s">
        <v>7</v>
      </c>
      <c r="E3010">
        <v>39</v>
      </c>
      <c r="F3010" t="s">
        <v>6</v>
      </c>
      <c r="H3010" t="s">
        <v>65</v>
      </c>
      <c r="I3010">
        <v>2023</v>
      </c>
    </row>
    <row r="3011" spans="1:9" x14ac:dyDescent="0.3">
      <c r="A3011">
        <v>182153913</v>
      </c>
      <c r="B3011" s="1">
        <v>45171</v>
      </c>
      <c r="D3011" t="s">
        <v>7</v>
      </c>
      <c r="E3011">
        <v>39</v>
      </c>
      <c r="F3011" t="s">
        <v>6</v>
      </c>
      <c r="H3011" t="s">
        <v>66</v>
      </c>
      <c r="I3011">
        <v>2023</v>
      </c>
    </row>
    <row r="3012" spans="1:9" x14ac:dyDescent="0.3">
      <c r="A3012">
        <v>217223132</v>
      </c>
      <c r="B3012" s="1">
        <v>45171</v>
      </c>
      <c r="D3012" t="s">
        <v>7</v>
      </c>
      <c r="E3012">
        <v>39</v>
      </c>
      <c r="F3012" t="s">
        <v>6</v>
      </c>
      <c r="H3012" t="s">
        <v>66</v>
      </c>
      <c r="I3012">
        <v>2023</v>
      </c>
    </row>
    <row r="3013" spans="1:9" x14ac:dyDescent="0.3">
      <c r="A3013">
        <v>219643599</v>
      </c>
      <c r="B3013" s="1">
        <v>45171</v>
      </c>
      <c r="D3013" t="s">
        <v>7</v>
      </c>
      <c r="E3013">
        <v>39</v>
      </c>
      <c r="F3013" t="s">
        <v>6</v>
      </c>
      <c r="H3013" t="s">
        <v>66</v>
      </c>
      <c r="I3013">
        <v>2023</v>
      </c>
    </row>
    <row r="3014" spans="1:9" x14ac:dyDescent="0.3">
      <c r="A3014">
        <v>152851458</v>
      </c>
      <c r="B3014" s="1">
        <v>45171</v>
      </c>
      <c r="D3014" t="s">
        <v>7</v>
      </c>
      <c r="E3014">
        <v>39</v>
      </c>
      <c r="F3014" t="s">
        <v>6</v>
      </c>
      <c r="H3014" t="s">
        <v>66</v>
      </c>
      <c r="I3014">
        <v>2023</v>
      </c>
    </row>
    <row r="3015" spans="1:9" x14ac:dyDescent="0.3">
      <c r="A3015">
        <v>219657672</v>
      </c>
      <c r="B3015" s="1">
        <v>45171</v>
      </c>
      <c r="D3015" t="s">
        <v>7</v>
      </c>
      <c r="E3015">
        <v>39</v>
      </c>
      <c r="F3015" t="s">
        <v>6</v>
      </c>
      <c r="H3015" t="s">
        <v>66</v>
      </c>
      <c r="I3015">
        <v>2023</v>
      </c>
    </row>
    <row r="3016" spans="1:9" x14ac:dyDescent="0.3">
      <c r="A3016">
        <v>220973656</v>
      </c>
      <c r="B3016" s="1">
        <v>45172</v>
      </c>
      <c r="D3016" t="s">
        <v>7</v>
      </c>
      <c r="E3016">
        <v>39</v>
      </c>
      <c r="F3016" t="s">
        <v>6</v>
      </c>
      <c r="H3016" t="s">
        <v>60</v>
      </c>
      <c r="I3016">
        <v>2023</v>
      </c>
    </row>
    <row r="3017" spans="1:9" x14ac:dyDescent="0.3">
      <c r="A3017">
        <v>159717680</v>
      </c>
      <c r="B3017" s="1">
        <v>45172</v>
      </c>
      <c r="D3017" t="s">
        <v>7</v>
      </c>
      <c r="E3017">
        <v>39</v>
      </c>
      <c r="F3017" t="s">
        <v>6</v>
      </c>
      <c r="H3017" t="s">
        <v>60</v>
      </c>
      <c r="I3017">
        <v>2023</v>
      </c>
    </row>
    <row r="3018" spans="1:9" x14ac:dyDescent="0.3">
      <c r="A3018">
        <v>220420126</v>
      </c>
      <c r="B3018" s="1">
        <v>45172</v>
      </c>
      <c r="D3018" t="s">
        <v>7</v>
      </c>
      <c r="E3018">
        <v>39</v>
      </c>
      <c r="F3018" t="s">
        <v>6</v>
      </c>
      <c r="H3018" t="s">
        <v>60</v>
      </c>
      <c r="I3018">
        <v>2023</v>
      </c>
    </row>
    <row r="3019" spans="1:9" x14ac:dyDescent="0.3">
      <c r="A3019">
        <v>220965750</v>
      </c>
      <c r="B3019" s="1">
        <v>45172</v>
      </c>
      <c r="D3019" t="s">
        <v>7</v>
      </c>
      <c r="E3019">
        <v>39</v>
      </c>
      <c r="F3019" t="s">
        <v>6</v>
      </c>
      <c r="H3019" t="s">
        <v>60</v>
      </c>
      <c r="I3019">
        <v>2023</v>
      </c>
    </row>
    <row r="3020" spans="1:9" x14ac:dyDescent="0.3">
      <c r="A3020">
        <v>219065931</v>
      </c>
      <c r="B3020" s="1">
        <v>45172</v>
      </c>
      <c r="D3020" t="s">
        <v>7</v>
      </c>
      <c r="E3020">
        <v>39</v>
      </c>
      <c r="F3020" t="s">
        <v>6</v>
      </c>
      <c r="H3020" t="s">
        <v>60</v>
      </c>
      <c r="I3020">
        <v>2023</v>
      </c>
    </row>
    <row r="3021" spans="1:9" x14ac:dyDescent="0.3">
      <c r="A3021">
        <v>220707034</v>
      </c>
      <c r="B3021" s="1">
        <v>45172</v>
      </c>
      <c r="D3021" t="s">
        <v>7</v>
      </c>
      <c r="E3021">
        <v>39</v>
      </c>
      <c r="F3021" t="s">
        <v>6</v>
      </c>
      <c r="H3021" t="s">
        <v>60</v>
      </c>
      <c r="I3021">
        <v>2023</v>
      </c>
    </row>
    <row r="3022" spans="1:9" x14ac:dyDescent="0.3">
      <c r="A3022">
        <v>220875396</v>
      </c>
      <c r="B3022" s="1">
        <v>45172</v>
      </c>
      <c r="D3022" t="s">
        <v>7</v>
      </c>
      <c r="E3022">
        <v>39</v>
      </c>
      <c r="F3022" t="s">
        <v>6</v>
      </c>
      <c r="H3022" t="s">
        <v>60</v>
      </c>
      <c r="I3022">
        <v>2023</v>
      </c>
    </row>
    <row r="3023" spans="1:9" x14ac:dyDescent="0.3">
      <c r="A3023">
        <v>134054676</v>
      </c>
      <c r="B3023" s="1">
        <v>45172</v>
      </c>
      <c r="C3023" s="1">
        <v>45174</v>
      </c>
      <c r="D3023" t="s">
        <v>7</v>
      </c>
      <c r="E3023">
        <v>39</v>
      </c>
      <c r="F3023" t="s">
        <v>6</v>
      </c>
      <c r="G3023" s="19">
        <v>2</v>
      </c>
      <c r="H3023" t="s">
        <v>60</v>
      </c>
      <c r="I3023">
        <v>2023</v>
      </c>
    </row>
    <row r="3024" spans="1:9" x14ac:dyDescent="0.3">
      <c r="A3024">
        <v>183702574</v>
      </c>
      <c r="B3024" s="1">
        <v>45172</v>
      </c>
      <c r="C3024" s="1">
        <v>45172</v>
      </c>
      <c r="D3024" t="s">
        <v>7</v>
      </c>
      <c r="E3024">
        <v>39</v>
      </c>
      <c r="F3024" t="s">
        <v>6</v>
      </c>
      <c r="G3024" s="19">
        <v>0</v>
      </c>
      <c r="H3024" t="s">
        <v>60</v>
      </c>
      <c r="I3024">
        <v>2023</v>
      </c>
    </row>
    <row r="3025" spans="1:9" x14ac:dyDescent="0.3">
      <c r="A3025">
        <v>220997288</v>
      </c>
      <c r="B3025" s="1">
        <v>45173</v>
      </c>
      <c r="D3025" t="s">
        <v>7</v>
      </c>
      <c r="E3025">
        <v>39</v>
      </c>
      <c r="F3025" t="s">
        <v>6</v>
      </c>
      <c r="H3025" t="s">
        <v>61</v>
      </c>
      <c r="I3025">
        <v>2023</v>
      </c>
    </row>
    <row r="3026" spans="1:9" x14ac:dyDescent="0.3">
      <c r="A3026">
        <v>218617631</v>
      </c>
      <c r="B3026" s="1">
        <v>45173</v>
      </c>
      <c r="D3026" t="s">
        <v>7</v>
      </c>
      <c r="E3026">
        <v>39</v>
      </c>
      <c r="F3026" t="s">
        <v>6</v>
      </c>
      <c r="H3026" t="s">
        <v>61</v>
      </c>
      <c r="I3026">
        <v>2023</v>
      </c>
    </row>
    <row r="3027" spans="1:9" x14ac:dyDescent="0.3">
      <c r="A3027">
        <v>220952702</v>
      </c>
      <c r="B3027" s="1">
        <v>45173</v>
      </c>
      <c r="D3027" t="s">
        <v>7</v>
      </c>
      <c r="E3027">
        <v>39</v>
      </c>
      <c r="F3027" t="s">
        <v>6</v>
      </c>
      <c r="H3027" t="s">
        <v>61</v>
      </c>
      <c r="I3027">
        <v>2023</v>
      </c>
    </row>
    <row r="3028" spans="1:9" x14ac:dyDescent="0.3">
      <c r="A3028">
        <v>156460574</v>
      </c>
      <c r="B3028" s="1">
        <v>45173</v>
      </c>
      <c r="D3028" t="s">
        <v>7</v>
      </c>
      <c r="E3028">
        <v>39</v>
      </c>
      <c r="F3028" t="s">
        <v>6</v>
      </c>
      <c r="H3028" t="s">
        <v>61</v>
      </c>
      <c r="I3028">
        <v>2023</v>
      </c>
    </row>
    <row r="3029" spans="1:9" x14ac:dyDescent="0.3">
      <c r="A3029">
        <v>221012872</v>
      </c>
      <c r="B3029" s="1">
        <v>45173</v>
      </c>
      <c r="D3029" t="s">
        <v>7</v>
      </c>
      <c r="E3029">
        <v>39</v>
      </c>
      <c r="F3029" t="s">
        <v>6</v>
      </c>
      <c r="H3029" t="s">
        <v>61</v>
      </c>
      <c r="I3029">
        <v>2023</v>
      </c>
    </row>
    <row r="3030" spans="1:9" x14ac:dyDescent="0.3">
      <c r="A3030">
        <v>220845656</v>
      </c>
      <c r="B3030" s="1">
        <v>45173</v>
      </c>
      <c r="D3030" t="s">
        <v>7</v>
      </c>
      <c r="E3030">
        <v>39</v>
      </c>
      <c r="F3030" t="s">
        <v>6</v>
      </c>
      <c r="H3030" t="s">
        <v>61</v>
      </c>
      <c r="I3030">
        <v>2023</v>
      </c>
    </row>
    <row r="3031" spans="1:9" x14ac:dyDescent="0.3">
      <c r="A3031">
        <v>220989516</v>
      </c>
      <c r="B3031" s="1">
        <v>45173</v>
      </c>
      <c r="D3031" t="s">
        <v>7</v>
      </c>
      <c r="E3031">
        <v>39</v>
      </c>
      <c r="F3031" t="s">
        <v>6</v>
      </c>
      <c r="H3031" t="s">
        <v>61</v>
      </c>
      <c r="I3031">
        <v>2023</v>
      </c>
    </row>
    <row r="3032" spans="1:9" x14ac:dyDescent="0.3">
      <c r="A3032">
        <v>135317128</v>
      </c>
      <c r="B3032" s="1">
        <v>45173</v>
      </c>
      <c r="D3032" t="s">
        <v>7</v>
      </c>
      <c r="E3032">
        <v>39</v>
      </c>
      <c r="F3032" t="s">
        <v>6</v>
      </c>
      <c r="H3032" t="s">
        <v>61</v>
      </c>
      <c r="I3032">
        <v>2023</v>
      </c>
    </row>
    <row r="3033" spans="1:9" x14ac:dyDescent="0.3">
      <c r="A3033">
        <v>220984730</v>
      </c>
      <c r="B3033" s="1">
        <v>45173</v>
      </c>
      <c r="D3033" t="s">
        <v>7</v>
      </c>
      <c r="E3033">
        <v>39</v>
      </c>
      <c r="F3033" t="s">
        <v>6</v>
      </c>
      <c r="H3033" t="s">
        <v>61</v>
      </c>
      <c r="I3033">
        <v>2023</v>
      </c>
    </row>
    <row r="3034" spans="1:9" x14ac:dyDescent="0.3">
      <c r="A3034">
        <v>220984628</v>
      </c>
      <c r="B3034" s="1">
        <v>45173</v>
      </c>
      <c r="D3034" t="s">
        <v>7</v>
      </c>
      <c r="E3034">
        <v>39</v>
      </c>
      <c r="F3034" t="s">
        <v>6</v>
      </c>
      <c r="H3034" t="s">
        <v>61</v>
      </c>
      <c r="I3034">
        <v>2023</v>
      </c>
    </row>
    <row r="3035" spans="1:9" x14ac:dyDescent="0.3">
      <c r="A3035">
        <v>220989226</v>
      </c>
      <c r="B3035" s="1">
        <v>45173</v>
      </c>
      <c r="D3035" t="s">
        <v>7</v>
      </c>
      <c r="E3035">
        <v>39</v>
      </c>
      <c r="F3035" t="s">
        <v>6</v>
      </c>
      <c r="H3035" t="s">
        <v>61</v>
      </c>
      <c r="I3035">
        <v>2023</v>
      </c>
    </row>
    <row r="3036" spans="1:9" x14ac:dyDescent="0.3">
      <c r="A3036">
        <v>220988969</v>
      </c>
      <c r="B3036" s="1">
        <v>45173</v>
      </c>
      <c r="D3036" t="s">
        <v>7</v>
      </c>
      <c r="E3036">
        <v>39</v>
      </c>
      <c r="F3036" t="s">
        <v>6</v>
      </c>
      <c r="H3036" t="s">
        <v>61</v>
      </c>
      <c r="I3036">
        <v>2023</v>
      </c>
    </row>
    <row r="3037" spans="1:9" x14ac:dyDescent="0.3">
      <c r="A3037">
        <v>220988022</v>
      </c>
      <c r="B3037" s="1">
        <v>45173</v>
      </c>
      <c r="D3037" t="s">
        <v>7</v>
      </c>
      <c r="E3037">
        <v>39</v>
      </c>
      <c r="F3037" t="s">
        <v>6</v>
      </c>
      <c r="H3037" t="s">
        <v>61</v>
      </c>
      <c r="I3037">
        <v>2023</v>
      </c>
    </row>
    <row r="3038" spans="1:9" x14ac:dyDescent="0.3">
      <c r="A3038">
        <v>220984390</v>
      </c>
      <c r="B3038" s="1">
        <v>45173</v>
      </c>
      <c r="D3038" t="s">
        <v>7</v>
      </c>
      <c r="E3038">
        <v>39</v>
      </c>
      <c r="F3038" t="s">
        <v>6</v>
      </c>
      <c r="H3038" t="s">
        <v>61</v>
      </c>
      <c r="I3038">
        <v>2023</v>
      </c>
    </row>
    <row r="3039" spans="1:9" x14ac:dyDescent="0.3">
      <c r="A3039">
        <v>181480437</v>
      </c>
      <c r="B3039" s="1">
        <v>45173</v>
      </c>
      <c r="D3039" t="s">
        <v>7</v>
      </c>
      <c r="E3039">
        <v>39</v>
      </c>
      <c r="F3039" t="s">
        <v>6</v>
      </c>
      <c r="H3039" t="s">
        <v>61</v>
      </c>
      <c r="I3039">
        <v>2023</v>
      </c>
    </row>
    <row r="3040" spans="1:9" x14ac:dyDescent="0.3">
      <c r="A3040">
        <v>125219153</v>
      </c>
      <c r="B3040" s="1">
        <v>45174</v>
      </c>
      <c r="D3040" t="s">
        <v>7</v>
      </c>
      <c r="E3040">
        <v>39</v>
      </c>
      <c r="F3040" t="s">
        <v>6</v>
      </c>
      <c r="H3040" t="s">
        <v>62</v>
      </c>
      <c r="I3040">
        <v>2023</v>
      </c>
    </row>
    <row r="3041" spans="1:9" x14ac:dyDescent="0.3">
      <c r="A3041">
        <v>160833652</v>
      </c>
      <c r="B3041" s="1">
        <v>45174</v>
      </c>
      <c r="D3041" t="s">
        <v>7</v>
      </c>
      <c r="E3041">
        <v>39</v>
      </c>
      <c r="F3041" t="s">
        <v>6</v>
      </c>
      <c r="H3041" t="s">
        <v>62</v>
      </c>
      <c r="I3041">
        <v>2023</v>
      </c>
    </row>
    <row r="3042" spans="1:9" x14ac:dyDescent="0.3">
      <c r="A3042">
        <v>221073196</v>
      </c>
      <c r="B3042" s="1">
        <v>45174</v>
      </c>
      <c r="D3042" t="s">
        <v>7</v>
      </c>
      <c r="E3042">
        <v>39</v>
      </c>
      <c r="F3042" t="s">
        <v>6</v>
      </c>
      <c r="H3042" t="s">
        <v>62</v>
      </c>
      <c r="I3042">
        <v>2023</v>
      </c>
    </row>
    <row r="3043" spans="1:9" x14ac:dyDescent="0.3">
      <c r="A3043">
        <v>153733292</v>
      </c>
      <c r="B3043" s="1">
        <v>45174</v>
      </c>
      <c r="D3043" t="s">
        <v>7</v>
      </c>
      <c r="E3043">
        <v>39</v>
      </c>
      <c r="F3043" t="s">
        <v>6</v>
      </c>
      <c r="H3043" t="s">
        <v>62</v>
      </c>
      <c r="I3043">
        <v>2023</v>
      </c>
    </row>
    <row r="3044" spans="1:9" x14ac:dyDescent="0.3">
      <c r="A3044">
        <v>152692003</v>
      </c>
      <c r="B3044" s="1">
        <v>45174</v>
      </c>
      <c r="D3044" t="s">
        <v>7</v>
      </c>
      <c r="E3044">
        <v>39</v>
      </c>
      <c r="F3044" t="s">
        <v>6</v>
      </c>
      <c r="H3044" t="s">
        <v>62</v>
      </c>
      <c r="I3044">
        <v>2023</v>
      </c>
    </row>
    <row r="3045" spans="1:9" x14ac:dyDescent="0.3">
      <c r="A3045">
        <v>220528931</v>
      </c>
      <c r="B3045" s="1">
        <v>45174</v>
      </c>
      <c r="D3045" t="s">
        <v>7</v>
      </c>
      <c r="E3045">
        <v>39</v>
      </c>
      <c r="F3045" t="s">
        <v>6</v>
      </c>
      <c r="H3045" t="s">
        <v>62</v>
      </c>
      <c r="I3045">
        <v>2023</v>
      </c>
    </row>
    <row r="3046" spans="1:9" x14ac:dyDescent="0.3">
      <c r="A3046">
        <v>221052611</v>
      </c>
      <c r="B3046" s="1">
        <v>45174</v>
      </c>
      <c r="D3046" t="s">
        <v>7</v>
      </c>
      <c r="E3046">
        <v>39</v>
      </c>
      <c r="F3046" t="s">
        <v>6</v>
      </c>
      <c r="H3046" t="s">
        <v>62</v>
      </c>
      <c r="I3046">
        <v>2023</v>
      </c>
    </row>
    <row r="3047" spans="1:9" x14ac:dyDescent="0.3">
      <c r="A3047">
        <v>220665801</v>
      </c>
      <c r="B3047" s="1">
        <v>45174</v>
      </c>
      <c r="D3047" t="s">
        <v>7</v>
      </c>
      <c r="E3047">
        <v>39</v>
      </c>
      <c r="F3047" t="s">
        <v>6</v>
      </c>
      <c r="H3047" t="s">
        <v>62</v>
      </c>
      <c r="I3047">
        <v>2023</v>
      </c>
    </row>
    <row r="3048" spans="1:9" x14ac:dyDescent="0.3">
      <c r="A3048">
        <v>221028388</v>
      </c>
      <c r="B3048" s="1">
        <v>45174</v>
      </c>
      <c r="D3048" t="s">
        <v>7</v>
      </c>
      <c r="E3048">
        <v>39</v>
      </c>
      <c r="F3048" t="s">
        <v>6</v>
      </c>
      <c r="H3048" t="s">
        <v>62</v>
      </c>
      <c r="I3048">
        <v>2023</v>
      </c>
    </row>
    <row r="3049" spans="1:9" x14ac:dyDescent="0.3">
      <c r="A3049">
        <v>206284545</v>
      </c>
      <c r="B3049" s="1">
        <v>45174</v>
      </c>
      <c r="D3049" t="s">
        <v>7</v>
      </c>
      <c r="E3049">
        <v>39</v>
      </c>
      <c r="F3049" t="s">
        <v>6</v>
      </c>
      <c r="H3049" t="s">
        <v>62</v>
      </c>
      <c r="I3049">
        <v>2023</v>
      </c>
    </row>
    <row r="3050" spans="1:9" x14ac:dyDescent="0.3">
      <c r="A3050">
        <v>178531928</v>
      </c>
      <c r="B3050" s="1">
        <v>45174</v>
      </c>
      <c r="D3050" t="s">
        <v>7</v>
      </c>
      <c r="E3050">
        <v>39</v>
      </c>
      <c r="F3050" t="s">
        <v>6</v>
      </c>
      <c r="H3050" t="s">
        <v>62</v>
      </c>
      <c r="I3050">
        <v>2023</v>
      </c>
    </row>
    <row r="3051" spans="1:9" x14ac:dyDescent="0.3">
      <c r="A3051">
        <v>220994271</v>
      </c>
      <c r="B3051" s="1">
        <v>45174</v>
      </c>
      <c r="D3051" t="s">
        <v>7</v>
      </c>
      <c r="E3051">
        <v>39</v>
      </c>
      <c r="F3051" t="s">
        <v>6</v>
      </c>
      <c r="H3051" t="s">
        <v>62</v>
      </c>
      <c r="I3051">
        <v>2023</v>
      </c>
    </row>
    <row r="3052" spans="1:9" x14ac:dyDescent="0.3">
      <c r="A3052">
        <v>218720472</v>
      </c>
      <c r="B3052" s="1">
        <v>45174</v>
      </c>
      <c r="D3052" t="s">
        <v>7</v>
      </c>
      <c r="E3052">
        <v>39</v>
      </c>
      <c r="F3052" t="s">
        <v>6</v>
      </c>
      <c r="H3052" t="s">
        <v>62</v>
      </c>
      <c r="I3052">
        <v>2023</v>
      </c>
    </row>
    <row r="3053" spans="1:9" x14ac:dyDescent="0.3">
      <c r="A3053">
        <v>218900441</v>
      </c>
      <c r="B3053" s="1">
        <v>45175</v>
      </c>
      <c r="D3053" t="s">
        <v>7</v>
      </c>
      <c r="E3053">
        <v>39</v>
      </c>
      <c r="F3053" t="s">
        <v>6</v>
      </c>
      <c r="H3053" t="s">
        <v>63</v>
      </c>
      <c r="I3053">
        <v>2023</v>
      </c>
    </row>
    <row r="3054" spans="1:9" x14ac:dyDescent="0.3">
      <c r="A3054">
        <v>221123938</v>
      </c>
      <c r="B3054" s="1">
        <v>45175</v>
      </c>
      <c r="D3054" t="s">
        <v>7</v>
      </c>
      <c r="E3054">
        <v>39</v>
      </c>
      <c r="F3054" t="s">
        <v>6</v>
      </c>
      <c r="H3054" t="s">
        <v>63</v>
      </c>
      <c r="I3054">
        <v>2023</v>
      </c>
    </row>
    <row r="3055" spans="1:9" x14ac:dyDescent="0.3">
      <c r="A3055">
        <v>166750222</v>
      </c>
      <c r="B3055" s="1">
        <v>45175</v>
      </c>
      <c r="D3055" t="s">
        <v>7</v>
      </c>
      <c r="E3055">
        <v>39</v>
      </c>
      <c r="F3055" t="s">
        <v>6</v>
      </c>
      <c r="H3055" t="s">
        <v>63</v>
      </c>
      <c r="I3055">
        <v>2023</v>
      </c>
    </row>
    <row r="3056" spans="1:9" x14ac:dyDescent="0.3">
      <c r="A3056">
        <v>154783053</v>
      </c>
      <c r="B3056" s="1">
        <v>45175</v>
      </c>
      <c r="D3056" t="s">
        <v>7</v>
      </c>
      <c r="E3056">
        <v>39</v>
      </c>
      <c r="F3056" t="s">
        <v>6</v>
      </c>
      <c r="H3056" t="s">
        <v>63</v>
      </c>
      <c r="I3056">
        <v>2023</v>
      </c>
    </row>
    <row r="3057" spans="1:9" x14ac:dyDescent="0.3">
      <c r="A3057">
        <v>221100604</v>
      </c>
      <c r="B3057" s="1">
        <v>45175</v>
      </c>
      <c r="D3057" t="s">
        <v>7</v>
      </c>
      <c r="E3057">
        <v>39</v>
      </c>
      <c r="F3057" t="s">
        <v>6</v>
      </c>
      <c r="H3057" t="s">
        <v>63</v>
      </c>
      <c r="I3057">
        <v>2023</v>
      </c>
    </row>
    <row r="3058" spans="1:9" x14ac:dyDescent="0.3">
      <c r="A3058">
        <v>220703723</v>
      </c>
      <c r="B3058" s="1">
        <v>45175</v>
      </c>
      <c r="D3058" t="s">
        <v>7</v>
      </c>
      <c r="E3058">
        <v>39</v>
      </c>
      <c r="F3058" t="s">
        <v>6</v>
      </c>
      <c r="H3058" t="s">
        <v>63</v>
      </c>
      <c r="I3058">
        <v>2023</v>
      </c>
    </row>
    <row r="3059" spans="1:9" x14ac:dyDescent="0.3">
      <c r="A3059">
        <v>220815627</v>
      </c>
      <c r="B3059" s="1">
        <v>45175</v>
      </c>
      <c r="D3059" t="s">
        <v>7</v>
      </c>
      <c r="E3059">
        <v>39</v>
      </c>
      <c r="F3059" t="s">
        <v>6</v>
      </c>
      <c r="H3059" t="s">
        <v>63</v>
      </c>
      <c r="I3059">
        <v>2023</v>
      </c>
    </row>
    <row r="3060" spans="1:9" x14ac:dyDescent="0.3">
      <c r="A3060">
        <v>214764106</v>
      </c>
      <c r="B3060" s="1">
        <v>45175</v>
      </c>
      <c r="D3060" t="s">
        <v>7</v>
      </c>
      <c r="E3060">
        <v>39</v>
      </c>
      <c r="F3060" t="s">
        <v>6</v>
      </c>
      <c r="H3060" t="s">
        <v>63</v>
      </c>
      <c r="I3060">
        <v>2023</v>
      </c>
    </row>
    <row r="3061" spans="1:9" x14ac:dyDescent="0.3">
      <c r="A3061">
        <v>158763940</v>
      </c>
      <c r="B3061" s="1">
        <v>45176</v>
      </c>
      <c r="D3061" t="s">
        <v>7</v>
      </c>
      <c r="E3061">
        <v>39</v>
      </c>
      <c r="F3061" t="s">
        <v>6</v>
      </c>
      <c r="H3061" t="s">
        <v>64</v>
      </c>
      <c r="I3061">
        <v>2023</v>
      </c>
    </row>
    <row r="3062" spans="1:9" x14ac:dyDescent="0.3">
      <c r="A3062">
        <v>220065316</v>
      </c>
      <c r="B3062" s="1">
        <v>45176</v>
      </c>
      <c r="D3062" t="s">
        <v>7</v>
      </c>
      <c r="E3062">
        <v>39</v>
      </c>
      <c r="F3062" t="s">
        <v>6</v>
      </c>
      <c r="H3062" t="s">
        <v>64</v>
      </c>
      <c r="I3062">
        <v>2023</v>
      </c>
    </row>
    <row r="3063" spans="1:9" x14ac:dyDescent="0.3">
      <c r="A3063">
        <v>217662862</v>
      </c>
      <c r="B3063" s="1">
        <v>45176</v>
      </c>
      <c r="D3063" t="s">
        <v>7</v>
      </c>
      <c r="E3063">
        <v>39</v>
      </c>
      <c r="F3063" t="s">
        <v>6</v>
      </c>
      <c r="H3063" t="s">
        <v>64</v>
      </c>
      <c r="I3063">
        <v>2023</v>
      </c>
    </row>
    <row r="3064" spans="1:9" x14ac:dyDescent="0.3">
      <c r="A3064">
        <v>220328388</v>
      </c>
      <c r="B3064" s="1">
        <v>45176</v>
      </c>
      <c r="D3064" t="s">
        <v>7</v>
      </c>
      <c r="E3064">
        <v>39</v>
      </c>
      <c r="F3064" t="s">
        <v>6</v>
      </c>
      <c r="H3064" t="s">
        <v>64</v>
      </c>
      <c r="I3064">
        <v>2023</v>
      </c>
    </row>
    <row r="3065" spans="1:9" x14ac:dyDescent="0.3">
      <c r="A3065">
        <v>219521019</v>
      </c>
      <c r="B3065" s="1">
        <v>45176</v>
      </c>
      <c r="D3065" t="s">
        <v>7</v>
      </c>
      <c r="E3065">
        <v>39</v>
      </c>
      <c r="F3065" t="s">
        <v>6</v>
      </c>
      <c r="H3065" t="s">
        <v>64</v>
      </c>
      <c r="I3065">
        <v>2023</v>
      </c>
    </row>
    <row r="3066" spans="1:9" x14ac:dyDescent="0.3">
      <c r="A3066">
        <v>221145374</v>
      </c>
      <c r="B3066" s="1">
        <v>45176</v>
      </c>
      <c r="D3066" t="s">
        <v>7</v>
      </c>
      <c r="E3066">
        <v>39</v>
      </c>
      <c r="F3066" t="s">
        <v>6</v>
      </c>
      <c r="H3066" t="s">
        <v>64</v>
      </c>
      <c r="I3066">
        <v>2023</v>
      </c>
    </row>
    <row r="3067" spans="1:9" x14ac:dyDescent="0.3">
      <c r="A3067">
        <v>221130434</v>
      </c>
      <c r="B3067" s="1">
        <v>45176</v>
      </c>
      <c r="D3067" t="s">
        <v>7</v>
      </c>
      <c r="E3067">
        <v>39</v>
      </c>
      <c r="F3067" t="s">
        <v>6</v>
      </c>
      <c r="H3067" t="s">
        <v>64</v>
      </c>
      <c r="I3067">
        <v>2023</v>
      </c>
    </row>
    <row r="3068" spans="1:9" x14ac:dyDescent="0.3">
      <c r="A3068">
        <v>221189604</v>
      </c>
      <c r="B3068" s="1">
        <v>45177</v>
      </c>
      <c r="D3068" t="s">
        <v>7</v>
      </c>
      <c r="E3068">
        <v>39</v>
      </c>
      <c r="F3068" t="s">
        <v>6</v>
      </c>
      <c r="H3068" t="s">
        <v>65</v>
      </c>
      <c r="I3068">
        <v>2023</v>
      </c>
    </row>
    <row r="3069" spans="1:9" x14ac:dyDescent="0.3">
      <c r="A3069">
        <v>215174643</v>
      </c>
      <c r="B3069" s="1">
        <v>45177</v>
      </c>
      <c r="D3069" t="s">
        <v>7</v>
      </c>
      <c r="E3069">
        <v>39</v>
      </c>
      <c r="F3069" t="s">
        <v>6</v>
      </c>
      <c r="H3069" t="s">
        <v>65</v>
      </c>
      <c r="I3069">
        <v>2023</v>
      </c>
    </row>
    <row r="3070" spans="1:9" x14ac:dyDescent="0.3">
      <c r="A3070">
        <v>188354637</v>
      </c>
      <c r="B3070" s="1">
        <v>45177</v>
      </c>
      <c r="D3070" t="s">
        <v>7</v>
      </c>
      <c r="E3070">
        <v>39</v>
      </c>
      <c r="F3070" t="s">
        <v>6</v>
      </c>
      <c r="H3070" t="s">
        <v>65</v>
      </c>
      <c r="I3070">
        <v>2023</v>
      </c>
    </row>
  </sheetData>
  <conditionalFormatting sqref="A1">
    <cfRule type="duplicateValues" dxfId="0"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B2A73-B876-49C6-83E8-592A2AD77536}">
  <sheetPr>
    <tabColor rgb="FFE50914"/>
  </sheetPr>
  <dimension ref="A6:M97"/>
  <sheetViews>
    <sheetView showGridLines="0" topLeftCell="A55" workbookViewId="0">
      <selection activeCell="D61" sqref="D61"/>
    </sheetView>
  </sheetViews>
  <sheetFormatPr defaultRowHeight="14.4" x14ac:dyDescent="0.3"/>
  <cols>
    <col min="1" max="1" width="14.5546875" bestFit="1" customWidth="1"/>
    <col min="2" max="2" width="21.33203125" bestFit="1" customWidth="1"/>
    <col min="3" max="3" width="21.109375" bestFit="1" customWidth="1"/>
    <col min="4" max="4" width="22.109375" bestFit="1" customWidth="1"/>
    <col min="5" max="5" width="12" bestFit="1" customWidth="1"/>
    <col min="6" max="6" width="21.5546875" bestFit="1" customWidth="1"/>
    <col min="7" max="7" width="20.44140625" bestFit="1" customWidth="1"/>
    <col min="8" max="8" width="21.33203125" bestFit="1" customWidth="1"/>
    <col min="9" max="9" width="22.33203125" bestFit="1" customWidth="1"/>
    <col min="10" max="10" width="25.6640625" bestFit="1" customWidth="1"/>
    <col min="11" max="11" width="21" customWidth="1"/>
    <col min="12" max="12" width="6.77734375" customWidth="1"/>
    <col min="13" max="13" width="3" bestFit="1" customWidth="1"/>
    <col min="14" max="15" width="2" bestFit="1" customWidth="1"/>
    <col min="16" max="17" width="3" bestFit="1" customWidth="1"/>
    <col min="18" max="18" width="22.109375" bestFit="1" customWidth="1"/>
    <col min="19" max="19" width="21.109375" bestFit="1" customWidth="1"/>
    <col min="20" max="34" width="3" bestFit="1" customWidth="1"/>
    <col min="35" max="35" width="22.6640625" bestFit="1" customWidth="1"/>
    <col min="36" max="36" width="21.109375" bestFit="1" customWidth="1"/>
    <col min="37" max="49" width="3" bestFit="1" customWidth="1"/>
    <col min="50" max="50" width="15.77734375" bestFit="1" customWidth="1"/>
    <col min="51" max="51" width="22" bestFit="1" customWidth="1"/>
    <col min="52" max="52" width="3.44140625" bestFit="1" customWidth="1"/>
    <col min="53" max="53" width="10.77734375" bestFit="1" customWidth="1"/>
    <col min="54" max="54" width="18.109375" bestFit="1" customWidth="1"/>
    <col min="55" max="55" width="26.109375" bestFit="1" customWidth="1"/>
    <col min="56" max="56" width="22.88671875" bestFit="1" customWidth="1"/>
    <col min="57" max="84" width="3" bestFit="1" customWidth="1"/>
    <col min="85" max="88" width="4" bestFit="1" customWidth="1"/>
    <col min="89" max="89" width="10.77734375" bestFit="1" customWidth="1"/>
    <col min="90" max="109" width="3" bestFit="1" customWidth="1"/>
    <col min="110" max="245" width="4" bestFit="1" customWidth="1"/>
    <col min="246" max="246" width="5" bestFit="1" customWidth="1"/>
    <col min="247" max="247" width="10.77734375" bestFit="1" customWidth="1"/>
  </cols>
  <sheetData>
    <row r="6" spans="1:13" ht="15.6" x14ac:dyDescent="0.3">
      <c r="A6" s="33" t="s">
        <v>34</v>
      </c>
      <c r="B6" s="33"/>
      <c r="C6" s="33"/>
      <c r="D6" s="31" t="s">
        <v>38</v>
      </c>
      <c r="E6" s="31"/>
      <c r="F6" s="31"/>
      <c r="G6" s="31" t="s">
        <v>42</v>
      </c>
      <c r="H6" s="31"/>
      <c r="I6" s="31"/>
      <c r="J6" s="31"/>
      <c r="K6" s="31"/>
      <c r="L6" s="31"/>
      <c r="M6" s="31"/>
    </row>
    <row r="8" spans="1:13" x14ac:dyDescent="0.3">
      <c r="A8" t="s">
        <v>37</v>
      </c>
      <c r="B8" t="s">
        <v>43</v>
      </c>
      <c r="D8" s="12" t="s">
        <v>35</v>
      </c>
      <c r="E8" t="s">
        <v>41</v>
      </c>
      <c r="G8" t="s">
        <v>44</v>
      </c>
    </row>
    <row r="9" spans="1:13" x14ac:dyDescent="0.3">
      <c r="A9">
        <v>3069</v>
      </c>
      <c r="B9">
        <v>2004</v>
      </c>
      <c r="D9" s="13" t="s">
        <v>39</v>
      </c>
      <c r="E9" s="16">
        <v>4.3336591723688499E-2</v>
      </c>
      <c r="G9" s="18">
        <v>58.374251497005986</v>
      </c>
    </row>
    <row r="10" spans="1:13" x14ac:dyDescent="0.3">
      <c r="D10" s="13" t="s">
        <v>40</v>
      </c>
      <c r="E10" s="16">
        <v>0.95666340827631147</v>
      </c>
    </row>
    <row r="11" spans="1:13" x14ac:dyDescent="0.3">
      <c r="D11" s="13" t="s">
        <v>36</v>
      </c>
      <c r="E11" s="16">
        <v>1</v>
      </c>
    </row>
    <row r="13" spans="1:13" ht="15.6" x14ac:dyDescent="0.3">
      <c r="A13" s="31" t="s">
        <v>45</v>
      </c>
      <c r="B13" s="31"/>
      <c r="C13" s="31"/>
      <c r="D13" s="31" t="s">
        <v>46</v>
      </c>
      <c r="E13" s="31"/>
      <c r="F13" s="31"/>
      <c r="G13" s="31"/>
      <c r="H13" s="17"/>
      <c r="I13" s="17"/>
      <c r="J13" s="17"/>
    </row>
    <row r="15" spans="1:13" x14ac:dyDescent="0.3">
      <c r="A15" s="12" t="s">
        <v>47</v>
      </c>
      <c r="B15" t="s">
        <v>48</v>
      </c>
      <c r="D15" s="12" t="s">
        <v>53</v>
      </c>
      <c r="E15" t="s">
        <v>48</v>
      </c>
    </row>
    <row r="16" spans="1:13" ht="15" thickBot="1" x14ac:dyDescent="0.35">
      <c r="A16" s="15">
        <v>45054</v>
      </c>
      <c r="B16">
        <v>20</v>
      </c>
      <c r="D16" s="13">
        <v>0</v>
      </c>
      <c r="E16">
        <v>108</v>
      </c>
    </row>
    <row r="17" spans="1:9" ht="15" thickBot="1" x14ac:dyDescent="0.35">
      <c r="A17" s="15">
        <v>44879</v>
      </c>
      <c r="B17">
        <v>20</v>
      </c>
      <c r="D17" s="13">
        <v>1</v>
      </c>
      <c r="E17">
        <v>174</v>
      </c>
      <c r="F17" t="s">
        <v>43</v>
      </c>
      <c r="G17" s="14" t="s">
        <v>54</v>
      </c>
      <c r="I17" s="27"/>
    </row>
    <row r="18" spans="1:9" ht="15" thickBot="1" x14ac:dyDescent="0.35">
      <c r="D18" s="13" t="s">
        <v>36</v>
      </c>
      <c r="E18">
        <v>282</v>
      </c>
      <c r="F18" s="28">
        <v>2004</v>
      </c>
      <c r="G18" s="21">
        <f>GETPIVOTDATA("canceled_date",$D$15)/GETPIVOTDATA("canceled_date",$F$17)</f>
        <v>0.1407185628742515</v>
      </c>
    </row>
    <row r="26" spans="1:9" ht="15.6" x14ac:dyDescent="0.3">
      <c r="A26" s="31" t="s">
        <v>49</v>
      </c>
      <c r="B26" s="31"/>
      <c r="C26" s="31"/>
      <c r="D26" s="31"/>
      <c r="E26" s="31" t="s">
        <v>52</v>
      </c>
      <c r="F26" s="31"/>
      <c r="G26" s="31"/>
      <c r="H26" s="31"/>
    </row>
    <row r="28" spans="1:9" x14ac:dyDescent="0.3">
      <c r="A28" s="12" t="s">
        <v>50</v>
      </c>
      <c r="B28" t="s">
        <v>51</v>
      </c>
      <c r="E28" s="12" t="s">
        <v>53</v>
      </c>
      <c r="F28" t="s">
        <v>86</v>
      </c>
    </row>
    <row r="29" spans="1:9" x14ac:dyDescent="0.3">
      <c r="A29" s="15">
        <v>45104</v>
      </c>
      <c r="B29">
        <v>14</v>
      </c>
      <c r="E29" s="13">
        <v>0</v>
      </c>
      <c r="F29">
        <v>108</v>
      </c>
    </row>
    <row r="32" spans="1:9" ht="15.6" x14ac:dyDescent="0.3">
      <c r="A32" s="31" t="s">
        <v>55</v>
      </c>
      <c r="B32" s="31"/>
      <c r="C32" s="31"/>
      <c r="D32" s="31"/>
      <c r="E32" s="31" t="s">
        <v>58</v>
      </c>
      <c r="F32" s="31"/>
      <c r="G32" s="31"/>
    </row>
    <row r="34" spans="1:8" x14ac:dyDescent="0.3">
      <c r="A34" s="22" t="s">
        <v>101</v>
      </c>
      <c r="B34" t="s">
        <v>86</v>
      </c>
      <c r="E34" s="22" t="s">
        <v>31</v>
      </c>
      <c r="F34" t="s">
        <v>56</v>
      </c>
    </row>
    <row r="35" spans="1:8" x14ac:dyDescent="0.3">
      <c r="A35" s="13">
        <v>0</v>
      </c>
      <c r="B35">
        <v>108</v>
      </c>
    </row>
    <row r="36" spans="1:8" x14ac:dyDescent="0.3">
      <c r="A36" s="13">
        <v>1</v>
      </c>
      <c r="B36">
        <v>174</v>
      </c>
      <c r="E36" t="s">
        <v>95</v>
      </c>
    </row>
    <row r="37" spans="1:8" x14ac:dyDescent="0.3">
      <c r="A37" s="13" t="s">
        <v>36</v>
      </c>
      <c r="B37">
        <v>282</v>
      </c>
      <c r="E37">
        <v>1317</v>
      </c>
    </row>
    <row r="38" spans="1:8" ht="15" thickBot="1" x14ac:dyDescent="0.35"/>
    <row r="39" spans="1:8" ht="15" thickBot="1" x14ac:dyDescent="0.35">
      <c r="A39" s="14" t="s">
        <v>57</v>
      </c>
      <c r="B39" s="21">
        <f>GETPIVOTDATA("customer_id",$A$34)/GETPIVOTDATA("was_subscription_paid",$A$8)</f>
        <v>9.1886608015640275E-2</v>
      </c>
    </row>
    <row r="42" spans="1:8" ht="15.6" x14ac:dyDescent="0.3">
      <c r="A42" s="31" t="s">
        <v>59</v>
      </c>
      <c r="B42" s="31"/>
      <c r="C42" s="31"/>
      <c r="D42" s="31"/>
      <c r="E42" s="31" t="s">
        <v>67</v>
      </c>
      <c r="F42" s="31"/>
      <c r="G42" s="31"/>
    </row>
    <row r="44" spans="1:8" x14ac:dyDescent="0.3">
      <c r="A44" s="12" t="s">
        <v>53</v>
      </c>
      <c r="B44" t="s">
        <v>102</v>
      </c>
      <c r="E44" s="12" t="s">
        <v>69</v>
      </c>
      <c r="F44" s="12" t="s">
        <v>48</v>
      </c>
    </row>
    <row r="45" spans="1:8" x14ac:dyDescent="0.3">
      <c r="A45" s="13">
        <v>1</v>
      </c>
      <c r="B45">
        <v>174</v>
      </c>
      <c r="E45" s="12" t="s">
        <v>63</v>
      </c>
      <c r="F45" t="s">
        <v>39</v>
      </c>
      <c r="G45" t="s">
        <v>40</v>
      </c>
      <c r="H45" t="s">
        <v>36</v>
      </c>
    </row>
    <row r="46" spans="1:8" x14ac:dyDescent="0.3">
      <c r="E46" s="13" t="s">
        <v>60</v>
      </c>
      <c r="F46">
        <v>8</v>
      </c>
      <c r="G46">
        <v>298</v>
      </c>
      <c r="H46">
        <v>306</v>
      </c>
    </row>
    <row r="47" spans="1:8" x14ac:dyDescent="0.3">
      <c r="E47" s="13" t="s">
        <v>61</v>
      </c>
      <c r="F47">
        <v>19</v>
      </c>
      <c r="G47">
        <v>520</v>
      </c>
      <c r="H47">
        <v>539</v>
      </c>
    </row>
    <row r="48" spans="1:8" x14ac:dyDescent="0.3">
      <c r="E48" s="13" t="s">
        <v>62</v>
      </c>
      <c r="F48">
        <v>20</v>
      </c>
      <c r="G48">
        <v>467</v>
      </c>
      <c r="H48">
        <v>487</v>
      </c>
    </row>
    <row r="49" spans="1:8" x14ac:dyDescent="0.3">
      <c r="E49" s="13" t="s">
        <v>63</v>
      </c>
      <c r="F49">
        <v>28</v>
      </c>
      <c r="G49">
        <v>444</v>
      </c>
      <c r="H49">
        <v>472</v>
      </c>
    </row>
    <row r="50" spans="1:8" x14ac:dyDescent="0.3">
      <c r="E50" s="13" t="s">
        <v>64</v>
      </c>
      <c r="F50">
        <v>19</v>
      </c>
      <c r="G50">
        <v>486</v>
      </c>
      <c r="H50">
        <v>505</v>
      </c>
    </row>
    <row r="51" spans="1:8" x14ac:dyDescent="0.3">
      <c r="E51" s="13" t="s">
        <v>65</v>
      </c>
      <c r="F51">
        <v>25</v>
      </c>
      <c r="G51">
        <v>427</v>
      </c>
      <c r="H51">
        <v>452</v>
      </c>
    </row>
    <row r="52" spans="1:8" x14ac:dyDescent="0.3">
      <c r="E52" s="13" t="s">
        <v>66</v>
      </c>
      <c r="F52">
        <v>14</v>
      </c>
      <c r="G52">
        <v>294</v>
      </c>
      <c r="H52">
        <v>308</v>
      </c>
    </row>
    <row r="53" spans="1:8" x14ac:dyDescent="0.3">
      <c r="E53" s="13" t="s">
        <v>36</v>
      </c>
      <c r="F53">
        <v>133</v>
      </c>
      <c r="G53">
        <v>2936</v>
      </c>
      <c r="H53">
        <v>3069</v>
      </c>
    </row>
    <row r="56" spans="1:8" ht="15.6" x14ac:dyDescent="0.3">
      <c r="A56" s="31" t="s">
        <v>68</v>
      </c>
      <c r="B56" s="31"/>
      <c r="C56" s="31"/>
      <c r="D56" s="31"/>
      <c r="E56" s="31"/>
    </row>
    <row r="58" spans="1:8" ht="15" thickBot="1" x14ac:dyDescent="0.35"/>
    <row r="59" spans="1:8" ht="15" thickBot="1" x14ac:dyDescent="0.35">
      <c r="A59" s="12" t="s">
        <v>53</v>
      </c>
      <c r="B59" t="s">
        <v>84</v>
      </c>
      <c r="C59" t="s">
        <v>86</v>
      </c>
      <c r="D59" s="14" t="s">
        <v>85</v>
      </c>
    </row>
    <row r="60" spans="1:8" x14ac:dyDescent="0.3">
      <c r="A60" s="13" t="s">
        <v>39</v>
      </c>
      <c r="B60">
        <v>133</v>
      </c>
      <c r="C60">
        <v>123</v>
      </c>
      <c r="D60" s="24">
        <f>GETPIVOTDATA("Number of Cancelletion",$A$59,"was_subscription_paid","Unpaid")/GETPIVOTDATA("Total Subscriptions",$A$59,"was_subscription_paid","Unpaid")</f>
        <v>0.92481203007518797</v>
      </c>
    </row>
    <row r="61" spans="1:8" x14ac:dyDescent="0.3">
      <c r="A61" s="13" t="s">
        <v>40</v>
      </c>
      <c r="B61">
        <v>2936</v>
      </c>
      <c r="C61">
        <v>1881</v>
      </c>
      <c r="D61" s="25">
        <f>GETPIVOTDATA("Number of Cancelletion",$A$59,"was_subscription_paid","Paid")/GETPIVOTDATA("Total Subscriptions",$A$59,"was_subscription_paid","Paid")</f>
        <v>0.64066757493188009</v>
      </c>
    </row>
    <row r="63" spans="1:8" x14ac:dyDescent="0.3">
      <c r="B63" s="23"/>
      <c r="C63" s="23"/>
    </row>
    <row r="64" spans="1:8" x14ac:dyDescent="0.3">
      <c r="B64" s="23"/>
    </row>
    <row r="70" spans="1:7" ht="15.6" x14ac:dyDescent="0.3">
      <c r="A70" s="32" t="s">
        <v>87</v>
      </c>
      <c r="B70" s="32"/>
      <c r="C70" s="32"/>
      <c r="D70" s="32"/>
      <c r="E70" s="31" t="s">
        <v>89</v>
      </c>
      <c r="F70" s="31"/>
      <c r="G70" s="31"/>
    </row>
    <row r="72" spans="1:7" x14ac:dyDescent="0.3">
      <c r="A72" s="12" t="s">
        <v>91</v>
      </c>
      <c r="B72" t="s">
        <v>92</v>
      </c>
      <c r="E72" s="12" t="s">
        <v>93</v>
      </c>
      <c r="F72" t="s">
        <v>103</v>
      </c>
    </row>
    <row r="73" spans="1:7" x14ac:dyDescent="0.3">
      <c r="A73" s="13" t="s">
        <v>72</v>
      </c>
      <c r="B73">
        <v>273</v>
      </c>
      <c r="E73" s="13" t="s">
        <v>70</v>
      </c>
      <c r="F73">
        <v>719</v>
      </c>
    </row>
    <row r="74" spans="1:7" x14ac:dyDescent="0.3">
      <c r="A74" s="13" t="s">
        <v>73</v>
      </c>
      <c r="B74">
        <v>275</v>
      </c>
      <c r="E74" s="13" t="s">
        <v>71</v>
      </c>
      <c r="F74">
        <v>1285</v>
      </c>
    </row>
    <row r="75" spans="1:7" x14ac:dyDescent="0.3">
      <c r="A75" s="13" t="s">
        <v>74</v>
      </c>
      <c r="B75">
        <v>266</v>
      </c>
    </row>
    <row r="76" spans="1:7" x14ac:dyDescent="0.3">
      <c r="A76" s="13" t="s">
        <v>75</v>
      </c>
      <c r="B76">
        <v>223</v>
      </c>
    </row>
    <row r="77" spans="1:7" x14ac:dyDescent="0.3">
      <c r="A77" s="13" t="s">
        <v>76</v>
      </c>
      <c r="B77">
        <v>285</v>
      </c>
    </row>
    <row r="78" spans="1:7" x14ac:dyDescent="0.3">
      <c r="A78" s="13" t="s">
        <v>77</v>
      </c>
      <c r="B78">
        <v>275</v>
      </c>
    </row>
    <row r="79" spans="1:7" x14ac:dyDescent="0.3">
      <c r="A79" s="13" t="s">
        <v>78</v>
      </c>
      <c r="B79">
        <v>306</v>
      </c>
    </row>
    <row r="80" spans="1:7" x14ac:dyDescent="0.3">
      <c r="A80" s="13" t="s">
        <v>79</v>
      </c>
      <c r="B80">
        <v>268</v>
      </c>
    </row>
    <row r="81" spans="1:9" x14ac:dyDescent="0.3">
      <c r="A81" s="13" t="s">
        <v>80</v>
      </c>
      <c r="B81">
        <v>283</v>
      </c>
    </row>
    <row r="82" spans="1:9" x14ac:dyDescent="0.3">
      <c r="A82" s="13" t="s">
        <v>81</v>
      </c>
      <c r="B82">
        <v>196</v>
      </c>
    </row>
    <row r="83" spans="1:9" x14ac:dyDescent="0.3">
      <c r="A83" s="13" t="s">
        <v>82</v>
      </c>
      <c r="B83">
        <v>189</v>
      </c>
    </row>
    <row r="84" spans="1:9" x14ac:dyDescent="0.3">
      <c r="A84" s="13" t="s">
        <v>83</v>
      </c>
      <c r="B84">
        <v>230</v>
      </c>
    </row>
    <row r="87" spans="1:9" ht="15.6" x14ac:dyDescent="0.3">
      <c r="A87" s="31" t="s">
        <v>88</v>
      </c>
      <c r="B87" s="31"/>
      <c r="C87" s="31"/>
      <c r="D87" s="31"/>
      <c r="E87" s="31" t="s">
        <v>90</v>
      </c>
      <c r="F87" s="31"/>
      <c r="G87" s="31"/>
      <c r="H87" s="31"/>
      <c r="I87" s="31"/>
    </row>
    <row r="89" spans="1:9" x14ac:dyDescent="0.3">
      <c r="A89" s="12" t="s">
        <v>35</v>
      </c>
      <c r="B89" t="s">
        <v>41</v>
      </c>
      <c r="E89" s="12" t="s">
        <v>94</v>
      </c>
      <c r="F89" t="s">
        <v>99</v>
      </c>
      <c r="G89" t="s">
        <v>100</v>
      </c>
    </row>
    <row r="90" spans="1:9" x14ac:dyDescent="0.3">
      <c r="A90" s="13" t="s">
        <v>39</v>
      </c>
      <c r="B90" s="16">
        <v>4.3336591723688499E-2</v>
      </c>
      <c r="E90" s="13" t="s">
        <v>60</v>
      </c>
      <c r="F90">
        <v>306</v>
      </c>
      <c r="G90" s="16">
        <v>9.9706744868035185E-2</v>
      </c>
    </row>
    <row r="91" spans="1:9" x14ac:dyDescent="0.3">
      <c r="A91" s="13" t="s">
        <v>40</v>
      </c>
      <c r="B91" s="16">
        <v>0.95666340827631147</v>
      </c>
      <c r="E91" s="13" t="s">
        <v>61</v>
      </c>
      <c r="F91">
        <v>539</v>
      </c>
      <c r="G91" s="16">
        <v>0.17562724014336917</v>
      </c>
    </row>
    <row r="92" spans="1:9" x14ac:dyDescent="0.3">
      <c r="A92" s="13" t="s">
        <v>36</v>
      </c>
      <c r="B92" s="16">
        <v>1</v>
      </c>
      <c r="E92" s="13" t="s">
        <v>62</v>
      </c>
      <c r="F92">
        <v>487</v>
      </c>
      <c r="G92" s="16">
        <v>0.15868361029651351</v>
      </c>
    </row>
    <row r="93" spans="1:9" x14ac:dyDescent="0.3">
      <c r="E93" s="13" t="s">
        <v>63</v>
      </c>
      <c r="F93">
        <v>472</v>
      </c>
      <c r="G93" s="16">
        <v>0.15379602476376669</v>
      </c>
    </row>
    <row r="94" spans="1:9" x14ac:dyDescent="0.3">
      <c r="E94" s="13" t="s">
        <v>64</v>
      </c>
      <c r="F94">
        <v>505</v>
      </c>
      <c r="G94" s="16">
        <v>0.16454871293580972</v>
      </c>
    </row>
    <row r="95" spans="1:9" x14ac:dyDescent="0.3">
      <c r="E95" s="13" t="s">
        <v>65</v>
      </c>
      <c r="F95">
        <v>452</v>
      </c>
      <c r="G95" s="16">
        <v>0.14727924405343759</v>
      </c>
    </row>
    <row r="96" spans="1:9" x14ac:dyDescent="0.3">
      <c r="E96" s="13" t="s">
        <v>66</v>
      </c>
      <c r="F96">
        <v>308</v>
      </c>
      <c r="G96" s="16">
        <v>0.1003584229390681</v>
      </c>
    </row>
    <row r="97" spans="9:9" x14ac:dyDescent="0.3">
      <c r="I97">
        <f>GETPIVOTDATA("canceled_date",$A$28,"canceled_date",DATE(2023,6,27))</f>
        <v>14</v>
      </c>
    </row>
  </sheetData>
  <mergeCells count="16">
    <mergeCell ref="A6:C6"/>
    <mergeCell ref="D6:F6"/>
    <mergeCell ref="G6:M6"/>
    <mergeCell ref="A13:C13"/>
    <mergeCell ref="D13:G13"/>
    <mergeCell ref="A42:D42"/>
    <mergeCell ref="A26:D26"/>
    <mergeCell ref="E26:H26"/>
    <mergeCell ref="A32:D32"/>
    <mergeCell ref="E32:G32"/>
    <mergeCell ref="E42:G42"/>
    <mergeCell ref="A56:E56"/>
    <mergeCell ref="A70:D70"/>
    <mergeCell ref="A87:D87"/>
    <mergeCell ref="E70:G70"/>
    <mergeCell ref="E87:I87"/>
  </mergeCells>
  <pageMargins left="0.7" right="0.7" top="0.75" bottom="0.75" header="0.3" footer="0.3"/>
  <drawing r:id="rId1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25061-6EAE-47ED-8932-B5F9734C2201}">
  <sheetPr>
    <tabColor rgb="FFE50914"/>
  </sheetPr>
  <dimension ref="A1:R31"/>
  <sheetViews>
    <sheetView tabSelected="1" zoomScaleNormal="100" workbookViewId="0">
      <selection activeCell="H14" sqref="H14:K14"/>
    </sheetView>
  </sheetViews>
  <sheetFormatPr defaultRowHeight="14.4" x14ac:dyDescent="0.3"/>
  <cols>
    <col min="7" max="7" width="11.21875" customWidth="1"/>
    <col min="18" max="18" width="11.5546875" customWidth="1"/>
  </cols>
  <sheetData>
    <row r="1" spans="1:18" x14ac:dyDescent="0.3">
      <c r="A1" s="26"/>
      <c r="B1" s="26"/>
      <c r="C1" s="26"/>
      <c r="D1" s="26"/>
      <c r="E1" s="26"/>
      <c r="F1" s="26"/>
      <c r="G1" s="26"/>
      <c r="H1" s="26"/>
      <c r="I1" s="26"/>
      <c r="J1" s="26"/>
      <c r="K1" s="26"/>
      <c r="L1" s="26"/>
      <c r="M1" s="26"/>
      <c r="N1" s="26"/>
      <c r="O1" s="26"/>
      <c r="P1" s="26"/>
      <c r="Q1" s="26"/>
      <c r="R1" s="26"/>
    </row>
    <row r="2" spans="1:18" x14ac:dyDescent="0.3">
      <c r="A2" s="26"/>
      <c r="B2" s="26"/>
      <c r="C2" s="26"/>
      <c r="D2" s="26"/>
      <c r="E2" s="26"/>
      <c r="F2" s="26"/>
      <c r="G2" s="26"/>
      <c r="H2" s="26"/>
      <c r="I2" s="26"/>
      <c r="J2" s="26"/>
      <c r="K2" s="26"/>
      <c r="L2" s="26"/>
      <c r="M2" s="26"/>
      <c r="N2" s="26"/>
      <c r="O2" s="26"/>
      <c r="P2" s="26"/>
      <c r="Q2" s="26"/>
      <c r="R2" s="26"/>
    </row>
    <row r="3" spans="1:18" x14ac:dyDescent="0.3">
      <c r="A3" s="26"/>
      <c r="B3" s="26"/>
      <c r="C3" s="26"/>
      <c r="D3" s="26"/>
      <c r="E3" s="26"/>
      <c r="F3" s="26"/>
      <c r="G3" s="26"/>
      <c r="H3" s="26"/>
      <c r="I3" s="26"/>
      <c r="J3" s="26"/>
      <c r="K3" s="26"/>
      <c r="L3" s="26"/>
      <c r="M3" s="26"/>
      <c r="N3" s="26"/>
      <c r="O3" s="26"/>
      <c r="P3" s="26"/>
      <c r="Q3" s="26"/>
      <c r="R3" s="26"/>
    </row>
    <row r="4" spans="1:18" x14ac:dyDescent="0.3">
      <c r="A4" s="26"/>
      <c r="B4" s="26"/>
      <c r="C4" s="26"/>
      <c r="D4" s="26"/>
      <c r="E4" s="26"/>
      <c r="F4" s="26"/>
      <c r="G4" s="26"/>
      <c r="H4" s="26"/>
      <c r="I4" s="26"/>
      <c r="J4" s="26"/>
      <c r="K4" s="26"/>
      <c r="L4" s="26"/>
      <c r="M4" s="26"/>
      <c r="N4" s="26"/>
      <c r="O4" s="26"/>
      <c r="P4" s="26"/>
      <c r="Q4" s="26"/>
      <c r="R4" s="26"/>
    </row>
    <row r="5" spans="1:18" x14ac:dyDescent="0.3">
      <c r="A5" s="26"/>
      <c r="B5" s="26"/>
      <c r="C5" s="26"/>
      <c r="D5" s="26"/>
      <c r="E5" s="26"/>
      <c r="F5" s="26"/>
      <c r="G5" s="26"/>
      <c r="H5" s="26"/>
      <c r="I5" s="26"/>
      <c r="J5" s="26"/>
      <c r="K5" s="26"/>
      <c r="L5" s="26"/>
      <c r="M5" s="26"/>
      <c r="N5" s="26"/>
      <c r="O5" s="26"/>
      <c r="P5" s="26"/>
      <c r="Q5" s="26"/>
      <c r="R5" s="26"/>
    </row>
    <row r="6" spans="1:18" x14ac:dyDescent="0.3">
      <c r="A6" s="26"/>
      <c r="B6" s="26"/>
      <c r="C6" s="26"/>
      <c r="D6" s="26"/>
      <c r="E6" s="26"/>
      <c r="F6" s="26"/>
      <c r="G6" s="26"/>
      <c r="H6" s="26"/>
      <c r="I6" s="26"/>
      <c r="J6" s="26"/>
      <c r="K6" s="26"/>
      <c r="L6" s="26"/>
      <c r="M6" s="26"/>
      <c r="N6" s="26"/>
      <c r="O6" s="26"/>
      <c r="P6" s="26"/>
      <c r="Q6" s="26"/>
      <c r="R6" s="26"/>
    </row>
    <row r="7" spans="1:18" x14ac:dyDescent="0.3">
      <c r="A7" s="26"/>
      <c r="B7" s="26"/>
      <c r="C7" s="26"/>
      <c r="D7" s="26"/>
      <c r="E7" s="26"/>
      <c r="F7" s="26"/>
      <c r="G7" s="26"/>
      <c r="H7" s="26"/>
      <c r="I7" s="26"/>
      <c r="J7" s="26"/>
      <c r="K7" s="26"/>
      <c r="L7" s="26"/>
      <c r="M7" s="26"/>
      <c r="N7" s="26"/>
      <c r="O7" s="26"/>
      <c r="P7" s="26"/>
      <c r="Q7" s="26"/>
      <c r="R7" s="26"/>
    </row>
    <row r="8" spans="1:18" x14ac:dyDescent="0.3">
      <c r="A8" s="26"/>
      <c r="B8" s="26"/>
      <c r="C8" s="26"/>
      <c r="D8" s="26"/>
      <c r="E8" s="26"/>
      <c r="F8" s="26"/>
      <c r="G8" s="26"/>
      <c r="H8" s="26"/>
      <c r="I8" s="26"/>
      <c r="J8" s="26"/>
      <c r="K8" s="26"/>
      <c r="L8" s="26"/>
      <c r="M8" s="26"/>
      <c r="N8" s="26"/>
      <c r="O8" s="26"/>
      <c r="P8" s="26"/>
      <c r="Q8" s="26"/>
      <c r="R8" s="26"/>
    </row>
    <row r="9" spans="1:18" x14ac:dyDescent="0.3">
      <c r="A9" s="26"/>
      <c r="B9" s="26"/>
      <c r="C9" s="26"/>
      <c r="D9" s="26"/>
      <c r="E9" s="26"/>
      <c r="F9" s="26"/>
      <c r="G9" s="26"/>
      <c r="H9" s="26"/>
      <c r="I9" s="26"/>
      <c r="J9" s="26"/>
      <c r="K9" s="26"/>
      <c r="L9" s="26"/>
      <c r="M9" s="26"/>
      <c r="N9" s="26"/>
      <c r="O9" s="26"/>
      <c r="P9" s="26"/>
      <c r="Q9" s="26"/>
      <c r="R9" s="26"/>
    </row>
    <row r="10" spans="1:18" ht="18" x14ac:dyDescent="0.3">
      <c r="A10" s="26"/>
      <c r="B10" s="26"/>
      <c r="C10" s="26"/>
      <c r="D10" s="26"/>
      <c r="E10" s="26"/>
      <c r="F10" s="26"/>
      <c r="G10" s="26"/>
      <c r="H10" s="37" t="s">
        <v>96</v>
      </c>
      <c r="I10" s="37"/>
      <c r="J10" s="37"/>
      <c r="K10" s="37"/>
      <c r="L10" s="26"/>
      <c r="M10" s="26"/>
      <c r="N10" s="26"/>
      <c r="O10" s="26"/>
      <c r="P10" s="26"/>
      <c r="Q10" s="26"/>
      <c r="R10" s="26"/>
    </row>
    <row r="11" spans="1:18" ht="15" customHeight="1" x14ac:dyDescent="0.3">
      <c r="A11" s="26"/>
      <c r="B11" s="26"/>
      <c r="C11" s="26"/>
      <c r="D11" s="26"/>
      <c r="E11" s="26"/>
      <c r="F11" s="26"/>
      <c r="G11" s="26"/>
      <c r="H11" s="36">
        <f>GETPIVOTDATA("was_subscription_paid",'Data Analysis Task'!$D$8,"was_subscription_paid","Paid")</f>
        <v>0.95666340827631147</v>
      </c>
      <c r="I11" s="36"/>
      <c r="J11" s="36"/>
      <c r="K11" s="36"/>
      <c r="L11" s="26"/>
      <c r="M11" s="26"/>
      <c r="N11" s="26"/>
      <c r="O11" s="26"/>
      <c r="P11" s="26"/>
      <c r="Q11" s="26"/>
      <c r="R11" s="26"/>
    </row>
    <row r="12" spans="1:18" x14ac:dyDescent="0.3">
      <c r="A12" s="26"/>
      <c r="B12" s="26"/>
      <c r="C12" s="26"/>
      <c r="D12" s="26"/>
      <c r="E12" s="26"/>
      <c r="F12" s="26"/>
      <c r="G12" s="26"/>
      <c r="H12" s="26"/>
      <c r="I12" s="26"/>
      <c r="J12" s="26"/>
      <c r="K12" s="26"/>
      <c r="L12" s="26"/>
      <c r="M12" s="26"/>
      <c r="N12" s="26"/>
      <c r="O12" s="26"/>
      <c r="P12" s="26"/>
      <c r="Q12" s="26"/>
      <c r="R12" s="26"/>
    </row>
    <row r="13" spans="1:18" ht="18" x14ac:dyDescent="0.3">
      <c r="A13" s="26"/>
      <c r="B13" s="26"/>
      <c r="C13" s="26"/>
      <c r="D13" s="26"/>
      <c r="E13" s="26"/>
      <c r="F13" s="26"/>
      <c r="G13" s="26"/>
      <c r="H13" s="37" t="s">
        <v>97</v>
      </c>
      <c r="I13" s="37"/>
      <c r="J13" s="37"/>
      <c r="K13" s="37"/>
      <c r="L13" s="26"/>
      <c r="M13" s="26"/>
      <c r="N13" s="26"/>
      <c r="O13" s="26"/>
      <c r="P13" s="26"/>
      <c r="Q13" s="26"/>
      <c r="R13" s="26"/>
    </row>
    <row r="14" spans="1:18" ht="15.6" x14ac:dyDescent="0.3">
      <c r="A14" s="26"/>
      <c r="B14" s="26"/>
      <c r="C14" s="26"/>
      <c r="D14" s="26"/>
      <c r="E14" s="26"/>
      <c r="F14" s="26"/>
      <c r="G14" s="26"/>
      <c r="H14" s="36">
        <f>GETPIVOTDATA("was_subscription_paid",'Data Analysis Task'!$D$8,"was_subscription_paid","Unpaid")</f>
        <v>4.3336591723688499E-2</v>
      </c>
      <c r="I14" s="36"/>
      <c r="J14" s="36"/>
      <c r="K14" s="36"/>
      <c r="L14" s="26"/>
      <c r="M14" s="26"/>
      <c r="N14" s="26"/>
      <c r="O14" s="26"/>
      <c r="P14" s="26"/>
      <c r="Q14" s="26"/>
      <c r="R14" s="26"/>
    </row>
    <row r="15" spans="1:18" x14ac:dyDescent="0.3">
      <c r="A15" s="26"/>
      <c r="B15" s="26"/>
      <c r="C15" s="26"/>
      <c r="D15" s="26"/>
      <c r="E15" s="26"/>
      <c r="F15" s="26"/>
      <c r="G15" s="26"/>
      <c r="H15" s="26"/>
      <c r="I15" s="26"/>
      <c r="J15" s="26"/>
      <c r="K15" s="26"/>
      <c r="L15" s="26"/>
      <c r="M15" s="26"/>
      <c r="N15" s="26"/>
      <c r="O15" s="26"/>
      <c r="P15" s="26"/>
      <c r="Q15" s="26"/>
      <c r="R15" s="26"/>
    </row>
    <row r="16" spans="1:18" x14ac:dyDescent="0.3">
      <c r="A16" s="26"/>
      <c r="B16" s="26"/>
      <c r="C16" s="26"/>
      <c r="D16" s="26"/>
      <c r="E16" s="26"/>
      <c r="F16" s="26"/>
      <c r="G16" s="26"/>
      <c r="H16" s="26"/>
      <c r="I16" s="26"/>
      <c r="J16" s="26"/>
      <c r="K16" s="26"/>
      <c r="L16" s="26"/>
      <c r="M16" s="26"/>
      <c r="N16" s="26"/>
      <c r="O16" s="26"/>
      <c r="P16" s="26"/>
      <c r="Q16" s="26"/>
      <c r="R16" s="26"/>
    </row>
    <row r="17" spans="1:18" x14ac:dyDescent="0.3">
      <c r="A17" s="26"/>
      <c r="B17" s="26"/>
      <c r="C17" s="26"/>
      <c r="D17" s="26"/>
      <c r="E17" s="26"/>
      <c r="F17" s="26"/>
      <c r="G17" s="26"/>
      <c r="H17" s="26"/>
      <c r="I17" s="26"/>
      <c r="J17" s="26"/>
      <c r="K17" s="26"/>
      <c r="L17" s="26"/>
      <c r="M17" s="26"/>
      <c r="N17" s="26"/>
      <c r="O17" s="26"/>
      <c r="P17" s="26"/>
      <c r="Q17" s="26"/>
      <c r="R17" s="26"/>
    </row>
    <row r="18" spans="1:18" x14ac:dyDescent="0.3">
      <c r="A18" s="26"/>
      <c r="B18" s="26"/>
      <c r="C18" s="26"/>
      <c r="D18" s="26"/>
      <c r="E18" s="26"/>
      <c r="F18" s="26"/>
      <c r="G18" s="26"/>
      <c r="H18" s="26"/>
      <c r="I18" s="26"/>
      <c r="J18" s="26"/>
      <c r="K18" s="26"/>
      <c r="L18" s="26"/>
      <c r="M18" s="26"/>
      <c r="N18" s="26"/>
      <c r="O18" s="26"/>
      <c r="P18" s="26"/>
      <c r="Q18" s="26"/>
      <c r="R18" s="26"/>
    </row>
    <row r="19" spans="1:18" x14ac:dyDescent="0.3">
      <c r="A19" s="26"/>
      <c r="B19" s="26"/>
      <c r="C19" s="26"/>
      <c r="D19" s="26"/>
      <c r="E19" s="26"/>
      <c r="F19" s="26"/>
      <c r="G19" s="26"/>
      <c r="H19" s="26"/>
      <c r="I19" s="26"/>
      <c r="J19" s="26"/>
      <c r="K19" s="26"/>
      <c r="L19" s="26"/>
      <c r="M19" s="26"/>
      <c r="N19" s="26"/>
      <c r="O19" s="26"/>
      <c r="P19" s="26"/>
      <c r="Q19" s="26"/>
      <c r="R19" s="26"/>
    </row>
    <row r="20" spans="1:18" x14ac:dyDescent="0.3">
      <c r="A20" s="26"/>
      <c r="B20" s="26"/>
      <c r="C20" s="26"/>
      <c r="D20" s="26"/>
      <c r="E20" s="26"/>
      <c r="F20" s="26"/>
      <c r="G20" s="26"/>
      <c r="H20" s="26"/>
      <c r="I20" s="26"/>
      <c r="J20" s="26"/>
      <c r="K20" s="26"/>
      <c r="L20" s="26"/>
      <c r="M20" s="26"/>
      <c r="N20" s="26"/>
      <c r="O20" s="26"/>
      <c r="P20" s="26"/>
      <c r="Q20" s="26"/>
      <c r="R20" s="26"/>
    </row>
    <row r="21" spans="1:18" x14ac:dyDescent="0.3">
      <c r="A21" s="26"/>
      <c r="B21" s="26"/>
      <c r="C21" s="26"/>
      <c r="D21" s="26"/>
      <c r="E21" s="26"/>
      <c r="F21" s="26"/>
      <c r="G21" s="26"/>
      <c r="H21" s="26"/>
      <c r="I21" s="26"/>
      <c r="J21" s="26"/>
      <c r="K21" s="26"/>
      <c r="L21" s="26"/>
      <c r="M21" s="26"/>
      <c r="N21" s="26"/>
      <c r="O21" s="26"/>
      <c r="P21" s="26"/>
      <c r="Q21" s="26"/>
      <c r="R21" s="26"/>
    </row>
    <row r="22" spans="1:18" ht="18" x14ac:dyDescent="0.3">
      <c r="A22" s="26"/>
      <c r="B22" s="26"/>
      <c r="C22" s="26"/>
      <c r="D22" s="26"/>
      <c r="E22" s="26"/>
      <c r="F22" s="26"/>
      <c r="G22" s="26"/>
      <c r="H22" s="37" t="s">
        <v>95</v>
      </c>
      <c r="I22" s="37"/>
      <c r="J22" s="37"/>
      <c r="K22" s="37"/>
      <c r="L22" s="26"/>
      <c r="M22" s="26"/>
      <c r="N22" s="26"/>
      <c r="O22" s="26"/>
      <c r="P22" s="26"/>
      <c r="Q22" s="26"/>
      <c r="R22" s="26"/>
    </row>
    <row r="23" spans="1:18" ht="15.6" x14ac:dyDescent="0.3">
      <c r="A23" s="26"/>
      <c r="B23" s="26"/>
      <c r="C23" s="26"/>
      <c r="D23" s="26"/>
      <c r="E23" s="26"/>
      <c r="F23" s="26"/>
      <c r="G23" s="26"/>
      <c r="H23" s="38">
        <f>GETPIVOTDATA("was_subscription_paid",'Data Analysis Task'!$A$8)</f>
        <v>3069</v>
      </c>
      <c r="I23" s="38"/>
      <c r="J23" s="38"/>
      <c r="K23" s="38"/>
      <c r="L23" s="26"/>
      <c r="M23" s="26"/>
      <c r="N23" s="26"/>
      <c r="O23" s="26"/>
      <c r="P23" s="26"/>
      <c r="Q23" s="26"/>
      <c r="R23" s="26"/>
    </row>
    <row r="24" spans="1:18" x14ac:dyDescent="0.3">
      <c r="A24" s="26"/>
      <c r="B24" s="26"/>
      <c r="C24" s="26"/>
      <c r="D24" s="26"/>
      <c r="E24" s="26"/>
      <c r="F24" s="26"/>
      <c r="G24" s="26"/>
      <c r="H24" s="26"/>
      <c r="I24" s="26"/>
      <c r="J24" s="26"/>
      <c r="K24" s="26"/>
      <c r="L24" s="26"/>
      <c r="M24" s="26"/>
      <c r="N24" s="26"/>
      <c r="O24" s="26"/>
      <c r="P24" s="26"/>
      <c r="Q24" s="26"/>
      <c r="R24" s="26"/>
    </row>
    <row r="25" spans="1:18" ht="18" x14ac:dyDescent="0.3">
      <c r="A25" s="26"/>
      <c r="B25" s="26"/>
      <c r="C25" s="26"/>
      <c r="D25" s="26"/>
      <c r="E25" s="26"/>
      <c r="F25" s="26"/>
      <c r="G25" s="26"/>
      <c r="H25" s="37" t="s">
        <v>98</v>
      </c>
      <c r="I25" s="37"/>
      <c r="J25" s="37"/>
      <c r="K25" s="37"/>
      <c r="L25" s="26"/>
      <c r="M25" s="26"/>
      <c r="N25" s="26"/>
      <c r="O25" s="26"/>
      <c r="P25" s="26"/>
      <c r="Q25" s="26"/>
      <c r="R25" s="26"/>
    </row>
    <row r="26" spans="1:18" ht="18" x14ac:dyDescent="0.35">
      <c r="A26" s="26"/>
      <c r="B26" s="26"/>
      <c r="C26" s="26"/>
      <c r="D26" s="26"/>
      <c r="E26" s="26"/>
      <c r="F26" s="26"/>
      <c r="G26" s="26"/>
      <c r="H26" s="34" t="s">
        <v>35</v>
      </c>
      <c r="I26" s="34"/>
      <c r="J26" s="34"/>
      <c r="K26" s="34"/>
      <c r="L26" s="26"/>
      <c r="M26" s="26"/>
      <c r="N26" s="26"/>
      <c r="O26" s="26"/>
      <c r="P26" s="26"/>
      <c r="Q26" s="26"/>
      <c r="R26" s="26"/>
    </row>
    <row r="27" spans="1:18" ht="15.6" x14ac:dyDescent="0.3">
      <c r="A27" s="26"/>
      <c r="B27" s="26"/>
      <c r="C27" s="26"/>
      <c r="D27" s="26"/>
      <c r="E27" s="26"/>
      <c r="F27" s="26"/>
      <c r="G27" s="26"/>
      <c r="H27" s="35">
        <f>GETPIVOTDATA("canceled_date",'Data Analysis Task'!$B$8)</f>
        <v>2004</v>
      </c>
      <c r="I27" s="35"/>
      <c r="J27" s="35"/>
      <c r="K27" s="35"/>
      <c r="L27" s="26"/>
      <c r="M27" s="26"/>
      <c r="N27" s="26"/>
      <c r="O27" s="26"/>
      <c r="P27" s="26"/>
      <c r="Q27" s="26"/>
      <c r="R27" s="26"/>
    </row>
    <row r="28" spans="1:18" x14ac:dyDescent="0.3">
      <c r="A28" s="26"/>
      <c r="B28" s="26"/>
      <c r="C28" s="26"/>
      <c r="D28" s="26"/>
      <c r="E28" s="26"/>
      <c r="F28" s="26"/>
      <c r="G28" s="26"/>
      <c r="H28" s="26"/>
      <c r="I28" s="26"/>
      <c r="J28" s="26"/>
      <c r="K28" s="26"/>
      <c r="L28" s="26"/>
      <c r="M28" s="26"/>
      <c r="N28" s="26"/>
      <c r="O28" s="26"/>
      <c r="P28" s="26"/>
      <c r="Q28" s="26"/>
      <c r="R28" s="26"/>
    </row>
    <row r="29" spans="1:18" x14ac:dyDescent="0.3">
      <c r="A29" s="26"/>
      <c r="B29" s="26"/>
      <c r="C29" s="26"/>
      <c r="D29" s="26"/>
      <c r="E29" s="26"/>
      <c r="F29" s="26"/>
      <c r="G29" s="26"/>
      <c r="H29" s="26"/>
      <c r="I29" s="26"/>
      <c r="J29" s="26"/>
      <c r="K29" s="26"/>
      <c r="L29" s="26"/>
      <c r="M29" s="26"/>
      <c r="N29" s="26"/>
      <c r="O29" s="26"/>
      <c r="P29" s="26"/>
      <c r="Q29" s="26"/>
      <c r="R29" s="26"/>
    </row>
    <row r="30" spans="1:18" x14ac:dyDescent="0.3">
      <c r="A30" s="26"/>
      <c r="B30" s="26"/>
      <c r="C30" s="26"/>
      <c r="D30" s="26"/>
      <c r="E30" s="26"/>
      <c r="F30" s="26"/>
      <c r="G30" s="26"/>
      <c r="H30" s="26"/>
      <c r="I30" s="26"/>
      <c r="J30" s="26"/>
      <c r="K30" s="26"/>
      <c r="L30" s="26"/>
      <c r="M30" s="26"/>
      <c r="N30" s="26"/>
      <c r="O30" s="26"/>
      <c r="P30" s="26"/>
      <c r="Q30" s="26"/>
      <c r="R30" s="26"/>
    </row>
    <row r="31" spans="1:18" x14ac:dyDescent="0.3">
      <c r="A31" s="26"/>
      <c r="B31" s="26"/>
      <c r="C31" s="26"/>
      <c r="D31" s="26"/>
      <c r="E31" s="26"/>
      <c r="F31" s="26"/>
      <c r="G31" s="26"/>
      <c r="H31" s="26"/>
      <c r="I31" s="26"/>
      <c r="J31" s="26"/>
      <c r="K31" s="26"/>
      <c r="L31" s="26"/>
      <c r="M31" s="26"/>
      <c r="N31" s="26"/>
      <c r="O31" s="26"/>
      <c r="P31" s="26"/>
      <c r="Q31" s="26"/>
      <c r="R31" s="26"/>
    </row>
  </sheetData>
  <mergeCells count="9">
    <mergeCell ref="H26:K26"/>
    <mergeCell ref="H27:K27"/>
    <mergeCell ref="H11:K11"/>
    <mergeCell ref="H10:K10"/>
    <mergeCell ref="H13:K13"/>
    <mergeCell ref="H14:K14"/>
    <mergeCell ref="H25:K25"/>
    <mergeCell ref="H22:K22"/>
    <mergeCell ref="H23:K2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Business Scenario</vt:lpstr>
      <vt:lpstr>Data Description</vt:lpstr>
      <vt:lpstr>Requirements</vt:lpstr>
      <vt:lpstr>Subscription Data</vt:lpstr>
      <vt:lpstr>Data Analysis Task</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jmaha</dc:creator>
  <cp:lastModifiedBy>Yogesh Sharma</cp:lastModifiedBy>
  <dcterms:created xsi:type="dcterms:W3CDTF">2025-03-29T06:01:13Z</dcterms:created>
  <dcterms:modified xsi:type="dcterms:W3CDTF">2026-09-26T16:38:16Z</dcterms:modified>
</cp:coreProperties>
</file>